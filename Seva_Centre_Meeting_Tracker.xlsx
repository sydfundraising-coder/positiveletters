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  <sheet name="Follow-up Tea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<sst xmlns="http://schemas.openxmlformats.org/spreadsheetml/2006/main" count="350" uniqueCount="188">
  <si>
    <t xml:space="preserve">BAPS Swaminarayan Sanstha Australia</t>
  </si>
  <si>
    <t xml:space="preserve">Seva Centre Meetings — Dashboard</t>
  </si>
  <si>
    <t xml:space="preserve">10-day window: Mon 7 Sep – Wed 16 Sep 2026  •  Figures update automatically as the Tracker is filled in</t>
  </si>
  <si>
    <t xml:space="preserve">Total Meetings</t>
  </si>
  <si>
    <t xml:space="preserve">Completed</t>
  </si>
  <si>
    <t xml:space="preserve">Total Attendees</t>
  </si>
  <si>
    <t xml:space="preserve">Support Letters</t>
  </si>
  <si>
    <t xml:space="preserve">Completion %</t>
  </si>
  <si>
    <t xml:space="preserve">Meetings per State / Territory</t>
  </si>
  <si>
    <t xml:space="preserve">Meetings per Day</t>
  </si>
  <si>
    <t xml:space="preserve">State / Territory</t>
  </si>
  <si>
    <t xml:space="preserve">Meetings</t>
  </si>
  <si>
    <t xml:space="preserve">Attendees</t>
  </si>
  <si>
    <t xml:space="preserve">Date</t>
  </si>
  <si>
    <t xml:space="preserve">Day</t>
  </si>
  <si>
    <t xml:space="preserve">Seva Centres</t>
  </si>
  <si>
    <t xml:space="preserve">Australian Capital Territory</t>
  </si>
  <si>
    <t xml:space="preserve">Monday</t>
  </si>
  <si>
    <t xml:space="preserve">Alice Springs, Canberra, Melbourne North, Townsville</t>
  </si>
  <si>
    <t xml:space="preserve">New South Wales</t>
  </si>
  <si>
    <t xml:space="preserve">Tuesday</t>
  </si>
  <si>
    <t xml:space="preserve">Adelaide, Albury, Darwin, Melbourne South</t>
  </si>
  <si>
    <t xml:space="preserve">Northern Territory</t>
  </si>
  <si>
    <t xml:space="preserve">Wednesday</t>
  </si>
  <si>
    <t xml:space="preserve">Bathurst, Berri, Brisbane, Melbourne West</t>
  </si>
  <si>
    <t xml:space="preserve">Queensland</t>
  </si>
  <si>
    <t xml:space="preserve">Thursday</t>
  </si>
  <si>
    <t xml:space="preserve">Brisbane North, Gosford, Mt Gambier, Shepparton</t>
  </si>
  <si>
    <t xml:space="preserve">South Australia</t>
  </si>
  <si>
    <t xml:space="preserve">Friday</t>
  </si>
  <si>
    <t xml:space="preserve">Cairns, Griffith, Hobart, Perth</t>
  </si>
  <si>
    <t xml:space="preserve">Tasmania</t>
  </si>
  <si>
    <t xml:space="preserve">Saturday</t>
  </si>
  <si>
    <t xml:space="preserve">Newcastle, Perth South</t>
  </si>
  <si>
    <t xml:space="preserve">Victoria</t>
  </si>
  <si>
    <t xml:space="preserve">Sunday</t>
  </si>
  <si>
    <t xml:space="preserve">Gatton, Launceston</t>
  </si>
  <si>
    <t xml:space="preserve">Western Australia</t>
  </si>
  <si>
    <t xml:space="preserve">Ballarat, Gold Coast, Sydney</t>
  </si>
  <si>
    <t xml:space="preserve">TOTAL</t>
  </si>
  <si>
    <t xml:space="preserve">Geelong, Sunshine Coast, Wagga Wagga</t>
  </si>
  <si>
    <t xml:space="preserve">Melbourne East, Toowoomba, Wollongong</t>
  </si>
  <si>
    <t xml:space="preserve">Follow-up Progress by Person</t>
  </si>
  <si>
    <t xml:space="preserve">Follow-up Person</t>
  </si>
  <si>
    <t xml:space="preserve">Assigned</t>
  </si>
  <si>
    <t xml:space="preserve">Follow-up Completed</t>
  </si>
  <si>
    <t xml:space="preserve">Meetings Completed</t>
  </si>
  <si>
    <t xml:space="preserve">Seva Centre Meeting Tracker</t>
  </si>
  <si>
    <t xml:space="preserve">Fill in the YELLOW columns (K–Q) after each meeting. Grey columns are the fixed schedule — do not edit.</t>
  </si>
  <si>
    <t xml:space="preserve">Legend:  Grey = locked reference  •  Yellow = editable entry  •  Each follow-up person edits only the rows assigned to them (column N).</t>
  </si>
  <si>
    <t xml:space="preserve">No.</t>
  </si>
  <si>
    <t xml:space="preserve">Meeting Date</t>
  </si>
  <si>
    <t xml:space="preserve">Seva Centre</t>
  </si>
  <si>
    <t xml:space="preserve">Das (Coordinator)</t>
  </si>
  <si>
    <t xml:space="preserve">Coordinator Mobile</t>
  </si>
  <si>
    <t xml:space="preserve">PS Sanchalak</t>
  </si>
  <si>
    <t xml:space="preserve">PS Sanchalak Mobile</t>
  </si>
  <si>
    <t xml:space="preserve">Own Assembly Day</t>
  </si>
  <si>
    <t xml:space="preserve">Meeting Status</t>
  </si>
  <si>
    <t xml:space="preserve">Attendees (#)</t>
  </si>
  <si>
    <t xml:space="preserve">Support Letters (#)</t>
  </si>
  <si>
    <t xml:space="preserve">Follow-up Status</t>
  </si>
  <si>
    <t xml:space="preserve">Last Updated</t>
  </si>
  <si>
    <t xml:space="preserve">Notes / Comments</t>
  </si>
  <si>
    <t xml:space="preserve">Canberra</t>
  </si>
  <si>
    <t xml:space="preserve">Vivek Brahmbhatt</t>
  </si>
  <si>
    <t xml:space="preserve">+61425793437</t>
  </si>
  <si>
    <t xml:space="preserve">—</t>
  </si>
  <si>
    <t xml:space="preserve">Alice Springs</t>
  </si>
  <si>
    <t xml:space="preserve">Jigar Patel</t>
  </si>
  <si>
    <t xml:space="preserve">+61466389384</t>
  </si>
  <si>
    <t xml:space="preserve">Townsville</t>
  </si>
  <si>
    <t xml:space="preserve">Praduman Patel</t>
  </si>
  <si>
    <t xml:space="preserve">+61478407226</t>
  </si>
  <si>
    <t xml:space="preserve">Melbourne North</t>
  </si>
  <si>
    <t xml:space="preserve">Kalpeshkumar Makwana</t>
  </si>
  <si>
    <t xml:space="preserve">+61433178840</t>
  </si>
  <si>
    <t xml:space="preserve">+61431435100</t>
  </si>
  <si>
    <t xml:space="preserve">Albury</t>
  </si>
  <si>
    <t xml:space="preserve">Yash Patel</t>
  </si>
  <si>
    <t xml:space="preserve">+61450807288</t>
  </si>
  <si>
    <t xml:space="preserve">Darwin</t>
  </si>
  <si>
    <t xml:space="preserve">Ketan Patel</t>
  </si>
  <si>
    <t xml:space="preserve">+61416537449</t>
  </si>
  <si>
    <t xml:space="preserve">Adelaide</t>
  </si>
  <si>
    <t xml:space="preserve">Rajesh Patel</t>
  </si>
  <si>
    <t xml:space="preserve">+61408255461</t>
  </si>
  <si>
    <t xml:space="preserve">Darshan Chauhan
Vaibhav Chauhan</t>
  </si>
  <si>
    <t xml:space="preserve">+61450091281
+61430009790</t>
  </si>
  <si>
    <t xml:space="preserve">Melbourne South</t>
  </si>
  <si>
    <t xml:space="preserve">Manish Patel</t>
  </si>
  <si>
    <t xml:space="preserve">+61430340121</t>
  </si>
  <si>
    <t xml:space="preserve">Ronak Patel</t>
  </si>
  <si>
    <t xml:space="preserve">+61430991028</t>
  </si>
  <si>
    <t xml:space="preserve">Bathurst</t>
  </si>
  <si>
    <t xml:space="preserve">Durgesh Nagar</t>
  </si>
  <si>
    <t xml:space="preserve">+61450264482</t>
  </si>
  <si>
    <t xml:space="preserve">Brisbane</t>
  </si>
  <si>
    <t xml:space="preserve">Ghanshyambhai Patel</t>
  </si>
  <si>
    <t xml:space="preserve">+61406045676</t>
  </si>
  <si>
    <t xml:space="preserve">Vijay Patel</t>
  </si>
  <si>
    <t xml:space="preserve">+61430119944</t>
  </si>
  <si>
    <t xml:space="preserve">Berri</t>
  </si>
  <si>
    <t xml:space="preserve">Ronakkumar Patel</t>
  </si>
  <si>
    <t xml:space="preserve">+61411741523</t>
  </si>
  <si>
    <t xml:space="preserve">Melbourne West</t>
  </si>
  <si>
    <t xml:space="preserve">Mitesh Patel</t>
  </si>
  <si>
    <t xml:space="preserve">+61408696977</t>
  </si>
  <si>
    <t xml:space="preserve">Mayur Brahmbhatt</t>
  </si>
  <si>
    <t xml:space="preserve">+61430769950</t>
  </si>
  <si>
    <t xml:space="preserve">Gosford</t>
  </si>
  <si>
    <t xml:space="preserve">Chirag Patel</t>
  </si>
  <si>
    <t xml:space="preserve">+61469355222</t>
  </si>
  <si>
    <t xml:space="preserve">Brisbane North</t>
  </si>
  <si>
    <t xml:space="preserve">Tushar Patel</t>
  </si>
  <si>
    <t xml:space="preserve">+61433630660</t>
  </si>
  <si>
    <t xml:space="preserve">Mt Gambier</t>
  </si>
  <si>
    <t xml:space="preserve">Sharad Patel</t>
  </si>
  <si>
    <t xml:space="preserve">+61404574267</t>
  </si>
  <si>
    <t xml:space="preserve">Shepparton</t>
  </si>
  <si>
    <t xml:space="preserve">Rohit Chauhan</t>
  </si>
  <si>
    <t xml:space="preserve">+61430433746</t>
  </si>
  <si>
    <t xml:space="preserve">Griffith</t>
  </si>
  <si>
    <t xml:space="preserve">Nil Patel</t>
  </si>
  <si>
    <t xml:space="preserve">+61434774143</t>
  </si>
  <si>
    <t xml:space="preserve">Cairns</t>
  </si>
  <si>
    <t xml:space="preserve">Dhiraj Gajera</t>
  </si>
  <si>
    <t xml:space="preserve">+61424018003</t>
  </si>
  <si>
    <t xml:space="preserve">Hobart</t>
  </si>
  <si>
    <t xml:space="preserve">Pratikbhai Darji</t>
  </si>
  <si>
    <t xml:space="preserve">+61430744922</t>
  </si>
  <si>
    <t xml:space="preserve">Perth</t>
  </si>
  <si>
    <t xml:space="preserve">Ankitkumar Patel</t>
  </si>
  <si>
    <t xml:space="preserve">+61433752050</t>
  </si>
  <si>
    <t xml:space="preserve">Tejasbhai R Patel</t>
  </si>
  <si>
    <t xml:space="preserve">+61424170938</t>
  </si>
  <si>
    <t xml:space="preserve">Newcastle</t>
  </si>
  <si>
    <t xml:space="preserve">Rajesh Lakhani</t>
  </si>
  <si>
    <t xml:space="preserve">+61433270237</t>
  </si>
  <si>
    <t xml:space="preserve">Perth South</t>
  </si>
  <si>
    <t xml:space="preserve">Vishal Patel</t>
  </si>
  <si>
    <t xml:space="preserve">+61437116621</t>
  </si>
  <si>
    <t xml:space="preserve">Vasant H Patel</t>
  </si>
  <si>
    <t xml:space="preserve">+61425769345</t>
  </si>
  <si>
    <t xml:space="preserve">Gatton</t>
  </si>
  <si>
    <t xml:space="preserve">Naresh Kugashiya</t>
  </si>
  <si>
    <t xml:space="preserve">+61426241930</t>
  </si>
  <si>
    <t xml:space="preserve">Launceston</t>
  </si>
  <si>
    <t xml:space="preserve">Devang Patel</t>
  </si>
  <si>
    <t xml:space="preserve">+61470439290</t>
  </si>
  <si>
    <t xml:space="preserve">Sydney</t>
  </si>
  <si>
    <t xml:space="preserve">Krishnachandra Patel</t>
  </si>
  <si>
    <t xml:space="preserve">+61425302187</t>
  </si>
  <si>
    <t xml:space="preserve">Dhruv Vala
Bhavesh Patel
Divyeshbhai Patel
Bhumipbhai Patel</t>
  </si>
  <si>
    <t xml:space="preserve">+61431831498
+61421491094
+61425215250
+61425792782</t>
  </si>
  <si>
    <t xml:space="preserve">Gold Coast</t>
  </si>
  <si>
    <t xml:space="preserve">Hemal Patel</t>
  </si>
  <si>
    <t xml:space="preserve">+61401194160</t>
  </si>
  <si>
    <t xml:space="preserve">Ballarat</t>
  </si>
  <si>
    <t xml:space="preserve">Bhavesh Narola</t>
  </si>
  <si>
    <t xml:space="preserve">+61475785218</t>
  </si>
  <si>
    <t xml:space="preserve">Wagga Wagga</t>
  </si>
  <si>
    <t xml:space="preserve">Yagneshkumar Patel</t>
  </si>
  <si>
    <t xml:space="preserve">+61403895092</t>
  </si>
  <si>
    <t xml:space="preserve">Sunshine Coast</t>
  </si>
  <si>
    <t xml:space="preserve">Harsh Patel</t>
  </si>
  <si>
    <t xml:space="preserve">+61476420700</t>
  </si>
  <si>
    <t xml:space="preserve">Geelong</t>
  </si>
  <si>
    <t xml:space="preserve">Yagnik Jadwani</t>
  </si>
  <si>
    <t xml:space="preserve">+61425168440</t>
  </si>
  <si>
    <t xml:space="preserve">Wollongong</t>
  </si>
  <si>
    <t xml:space="preserve">Pranav Sharma</t>
  </si>
  <si>
    <t xml:space="preserve">+61411199729</t>
  </si>
  <si>
    <t xml:space="preserve">Toowoomba</t>
  </si>
  <si>
    <t xml:space="preserve">Nilesh Kavani</t>
  </si>
  <si>
    <t xml:space="preserve">+61474704301</t>
  </si>
  <si>
    <t xml:space="preserve">Melbourne East</t>
  </si>
  <si>
    <t xml:space="preserve">Jaimin Patel</t>
  </si>
  <si>
    <t xml:space="preserve">+61433750765</t>
  </si>
  <si>
    <t xml:space="preserve">Follow-up Team — Allocation List</t>
  </si>
  <si>
    <t xml:space="preserve">Add each person who will follow up with Sanchalaks. Names entered in column B appear in the Tracker's 'Follow-up Person' dropdown.</t>
  </si>
  <si>
    <t xml:space="preserve">#</t>
  </si>
  <si>
    <t xml:space="preserve">Name (used in dropdown)</t>
  </si>
  <si>
    <t xml:space="preserve">Mobile</t>
  </si>
  <si>
    <t xml:space="preserve">Email</t>
  </si>
  <si>
    <t xml:space="preserve">e.g. Ramesh Patel</t>
  </si>
  <si>
    <t xml:space="preserve">+61400000000</t>
  </si>
  <si>
    <t xml:space="preserve">name@example.com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</si>
</sst>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dd\ mmm\ yyyy"/>
    <numFmt numFmtId="168" formatCode="ddd&quot;, &quot;dd\ mmm\ yyyy"/>
    <numFmt numFmtId="169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5617D"/>
      <name val="Calibri"/>
      <family val="0"/>
      <charset val="1"/>
    </font>
    <font>
      <b val="true"/>
      <sz val="13"/>
      <color rgb="FFED7D31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35617D"/>
      <name val="Calibri"/>
      <family val="0"/>
      <charset val="1"/>
    </font>
    <font>
      <b val="true"/>
      <sz val="18"/>
      <color rgb="FFED7D31"/>
      <name val="Calibri"/>
      <family val="0"/>
      <charset val="1"/>
    </font>
    <font>
      <b val="true"/>
      <sz val="12"/>
      <color rgb="FFED7D31"/>
      <name val="Calibri"/>
      <family val="0"/>
      <charset val="1"/>
    </font>
    <font>
      <sz val="10"/>
      <color rgb="FF333333"/>
      <name val="Calibri"/>
      <family val="0"/>
      <charset val="1"/>
    </font>
    <font>
      <sz val="10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5"/>
      <color rgb="FF35617D"/>
      <name val="Calibri"/>
      <family val="0"/>
      <charset val="1"/>
    </font>
    <font>
      <i val="true"/>
      <sz val="10"/>
      <color rgb="FFED7D31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"/>
      <color rgb="FF35617D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b val="true"/>
      <sz val="10"/>
      <color rgb="FFED7D31"/>
      <name val="Calibri"/>
      <family val="0"/>
      <charset val="1"/>
    </font>
    <font>
      <b val="true"/>
      <sz val="14"/>
      <color rgb="FF35617D"/>
      <name val="Calibri"/>
      <family val="0"/>
      <charset val="1"/>
    </font>
    <font>
      <i val="true"/>
      <sz val="10"/>
      <color rgb="FF80808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5617D"/>
        <bgColor rgb="FF595959"/>
      </patternFill>
    </fill>
    <fill>
      <patternFill patternType="solid">
        <fgColor rgb="FFED7D31"/>
        <bgColor rgb="FFFF8080"/>
      </patternFill>
    </fill>
    <fill>
      <patternFill patternType="solid">
        <fgColor rgb="FFEEE9E1"/>
        <bgColor rgb="FFF6F3EE"/>
      </patternFill>
    </fill>
    <fill>
      <patternFill patternType="solid">
        <fgColor rgb="FFFFFFFF"/>
        <bgColor rgb="FFF6F3EE"/>
      </patternFill>
    </fill>
    <fill>
      <patternFill patternType="solid">
        <fgColor rgb="FFFFF2CC"/>
        <bgColor rgb="FFF6F3EE"/>
      </patternFill>
    </fill>
    <fill>
      <patternFill patternType="solid">
        <fgColor rgb="FFF6F3EE"/>
        <bgColor rgb="FFEEE9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C6"/>
      </left>
      <right style="thin">
        <color rgb="FFD8D2C6"/>
      </right>
      <top style="thin">
        <color rgb="FFD8D2C6"/>
      </top>
      <bottom style="thin">
        <color rgb="FFD8D2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1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6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1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6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6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6"/>
      <rgbColor rgb="FF808080"/>
      <rgbColor rgb="FF9999FF"/>
      <rgbColor rgb="FF993366"/>
      <rgbColor rgb="FFFFF2CC"/>
      <rgbColor rgb="FFF6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9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561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2" min="10" style="0" width="10"/>
    <col collapsed="false" customWidth="true" hidden="false" outlineLevel="0" max="13" min="13" style="0" width="5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6.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5" t="s">
        <v>4</v>
      </c>
      <c r="C5" s="4" t="s">
        <v>5</v>
      </c>
      <c r="D5" s="5" t="s">
        <v>6</v>
      </c>
      <c r="E5" s="4" t="s">
        <v>7</v>
      </c>
    </row>
    <row r="6" customFormat="false" ht="33.75" hidden="false" customHeight="true" outlineLevel="0" collapsed="false">
      <c r="A6" s="6" t="n">
        <f aca="false">COUNTA(Tracker!$D$6:$D$38)</f>
        <v>33</v>
      </c>
      <c r="B6" s="7" t="n">
        <f aca="false">COUNTIF(Tracker!$K$6:$K$38,"Completed")</f>
        <v>0</v>
      </c>
      <c r="C6" s="6" t="n">
        <f aca="false">SUM(Tracker!$L$6:$L$38)</f>
        <v>0</v>
      </c>
      <c r="D6" s="7" t="n">
        <f aca="false">SUM(Tracker!$M$6:$M$38)</f>
        <v>0</v>
      </c>
      <c r="E6" s="8" t="n">
        <f aca="false">IFERROR(COUNTIF(Tracker!$K$6:$K$38,"Completed")/COUNTA(Tracker!$D$6:$D$38),0)</f>
        <v>0</v>
      </c>
    </row>
    <row r="9" customFormat="false" ht="15" hidden="false" customHeight="false" outlineLevel="0" collapsed="false">
      <c r="A9" s="9" t="s">
        <v>8</v>
      </c>
      <c r="B9" s="9"/>
      <c r="C9" s="9"/>
      <c r="D9" s="9"/>
      <c r="E9" s="9"/>
      <c r="F9" s="9"/>
      <c r="H9" s="9" t="s">
        <v>9</v>
      </c>
      <c r="I9" s="9"/>
      <c r="J9" s="9"/>
      <c r="K9" s="9"/>
      <c r="L9" s="9"/>
      <c r="M9" s="9"/>
    </row>
    <row r="10" customFormat="false" ht="15" hidden="false" customHeight="false" outlineLevel="0" collapsed="false">
      <c r="A10" s="10" t="s">
        <v>10</v>
      </c>
      <c r="B10" s="10" t="s">
        <v>11</v>
      </c>
      <c r="C10" s="10" t="s">
        <v>4</v>
      </c>
      <c r="D10" s="10" t="s">
        <v>12</v>
      </c>
      <c r="E10" s="10" t="s">
        <v>6</v>
      </c>
      <c r="F10" s="10" t="s">
        <v>7</v>
      </c>
      <c r="H10" s="10" t="s">
        <v>13</v>
      </c>
      <c r="I10" s="10" t="s">
        <v>14</v>
      </c>
      <c r="J10" s="10" t="s">
        <v>11</v>
      </c>
      <c r="K10" s="10" t="s">
        <v>4</v>
      </c>
      <c r="L10" s="10" t="s">
        <v>12</v>
      </c>
      <c r="M10" s="10" t="s">
        <v>15</v>
      </c>
    </row>
    <row r="11" customFormat="false" ht="15" hidden="false" customHeight="false" outlineLevel="0" collapsed="false">
      <c r="A11" s="11" t="s">
        <v>16</v>
      </c>
      <c r="B11" s="12" t="n">
        <f aca="false">COUNTIF(Tracker!$E$6:$E$38,$A$11)</f>
        <v>1</v>
      </c>
      <c r="C11" s="12" t="n">
        <f aca="false">COUNTIFS(Tracker!$E$6:$E$38,$A$11,Tracker!$K$6:$K$38,"Completed")</f>
        <v>0</v>
      </c>
      <c r="D11" s="12" t="n">
        <f aca="false">SUMIFS(Tracker!$L$6:$L$38,Tracker!$E$6:$E$38,$A$11)</f>
        <v>0</v>
      </c>
      <c r="E11" s="12" t="n">
        <f aca="false">SUMIFS(Tracker!$M$6:$M$38,Tracker!$E$6:$E$38,$A$11)</f>
        <v>0</v>
      </c>
      <c r="F11" s="13" t="n">
        <f aca="false">IFERROR(C11/B11,0)</f>
        <v>0</v>
      </c>
      <c r="H11" s="14" t="n">
        <v>46272</v>
      </c>
      <c r="I11" s="12" t="s">
        <v>17</v>
      </c>
      <c r="J11" s="12" t="n">
        <f aca="false">COUNTIF(Tracker!$B$6:$B$38,$H$11)</f>
        <v>4</v>
      </c>
      <c r="K11" s="12" t="n">
        <f aca="false">COUNTIFS(Tracker!$B$6:$B$38,$H$11,Tracker!$K$6:$K$38,"Completed")</f>
        <v>0</v>
      </c>
      <c r="L11" s="12" t="n">
        <f aca="false">SUMIFS(Tracker!$L$6:$L$38,Tracker!$B$6:$B$38,$H$11)</f>
        <v>0</v>
      </c>
      <c r="M11" s="15" t="s">
        <v>18</v>
      </c>
    </row>
    <row r="12" customFormat="false" ht="15" hidden="false" customHeight="false" outlineLevel="0" collapsed="false">
      <c r="A12" s="11" t="s">
        <v>19</v>
      </c>
      <c r="B12" s="12" t="n">
        <f aca="false">COUNTIF(Tracker!$E$6:$E$38,$A$12)</f>
        <v>8</v>
      </c>
      <c r="C12" s="12" t="n">
        <f aca="false">COUNTIFS(Tracker!$E$6:$E$38,$A$12,Tracker!$K$6:$K$38,"Completed")</f>
        <v>0</v>
      </c>
      <c r="D12" s="12" t="n">
        <f aca="false">SUMIFS(Tracker!$L$6:$L$38,Tracker!$E$6:$E$38,$A$12)</f>
        <v>0</v>
      </c>
      <c r="E12" s="12" t="n">
        <f aca="false">SUMIFS(Tracker!$M$6:$M$38,Tracker!$E$6:$E$38,$A$12)</f>
        <v>0</v>
      </c>
      <c r="F12" s="13" t="n">
        <f aca="false">IFERROR(C12/B12,0)</f>
        <v>0</v>
      </c>
      <c r="H12" s="14" t="n">
        <v>46273</v>
      </c>
      <c r="I12" s="12" t="s">
        <v>20</v>
      </c>
      <c r="J12" s="12" t="n">
        <f aca="false">COUNTIF(Tracker!$B$6:$B$38,$H$12)</f>
        <v>4</v>
      </c>
      <c r="K12" s="12" t="n">
        <f aca="false">COUNTIFS(Tracker!$B$6:$B$38,$H$12,Tracker!$K$6:$K$38,"Completed")</f>
        <v>0</v>
      </c>
      <c r="L12" s="12" t="n">
        <f aca="false">SUMIFS(Tracker!$L$6:$L$38,Tracker!$B$6:$B$38,$H$12)</f>
        <v>0</v>
      </c>
      <c r="M12" s="15" t="s">
        <v>21</v>
      </c>
    </row>
    <row r="13" customFormat="false" ht="15" hidden="false" customHeight="false" outlineLevel="0" collapsed="false">
      <c r="A13" s="11" t="s">
        <v>22</v>
      </c>
      <c r="B13" s="12" t="n">
        <f aca="false">COUNTIF(Tracker!$E$6:$E$38,$A$13)</f>
        <v>2</v>
      </c>
      <c r="C13" s="12" t="n">
        <f aca="false">COUNTIFS(Tracker!$E$6:$E$38,$A$13,Tracker!$K$6:$K$38,"Completed")</f>
        <v>0</v>
      </c>
      <c r="D13" s="12" t="n">
        <f aca="false">SUMIFS(Tracker!$L$6:$L$38,Tracker!$E$6:$E$38,$A$13)</f>
        <v>0</v>
      </c>
      <c r="E13" s="12" t="n">
        <f aca="false">SUMIFS(Tracker!$M$6:$M$38,Tracker!$E$6:$E$38,$A$13)</f>
        <v>0</v>
      </c>
      <c r="F13" s="13" t="n">
        <f aca="false">IFERROR(C13/B13,0)</f>
        <v>0</v>
      </c>
      <c r="H13" s="14" t="n">
        <v>46274</v>
      </c>
      <c r="I13" s="12" t="s">
        <v>23</v>
      </c>
      <c r="J13" s="12" t="n">
        <f aca="false">COUNTIF(Tracker!$B$6:$B$38,$H$13)</f>
        <v>4</v>
      </c>
      <c r="K13" s="12" t="n">
        <f aca="false">COUNTIFS(Tracker!$B$6:$B$38,$H$13,Tracker!$K$6:$K$38,"Completed")</f>
        <v>0</v>
      </c>
      <c r="L13" s="12" t="n">
        <f aca="false">SUMIFS(Tracker!$L$6:$L$38,Tracker!$B$6:$B$38,$H$13)</f>
        <v>0</v>
      </c>
      <c r="M13" s="15" t="s">
        <v>24</v>
      </c>
    </row>
    <row r="14" customFormat="false" ht="15" hidden="false" customHeight="false" outlineLevel="0" collapsed="false">
      <c r="A14" s="11" t="s">
        <v>25</v>
      </c>
      <c r="B14" s="12" t="n">
        <f aca="false">COUNTIF(Tracker!$E$6:$E$38,$A$14)</f>
        <v>8</v>
      </c>
      <c r="C14" s="12" t="n">
        <f aca="false">COUNTIFS(Tracker!$E$6:$E$38,$A$14,Tracker!$K$6:$K$38,"Completed")</f>
        <v>0</v>
      </c>
      <c r="D14" s="12" t="n">
        <f aca="false">SUMIFS(Tracker!$L$6:$L$38,Tracker!$E$6:$E$38,$A$14)</f>
        <v>0</v>
      </c>
      <c r="E14" s="12" t="n">
        <f aca="false">SUMIFS(Tracker!$M$6:$M$38,Tracker!$E$6:$E$38,$A$14)</f>
        <v>0</v>
      </c>
      <c r="F14" s="13" t="n">
        <f aca="false">IFERROR(C14/B14,0)</f>
        <v>0</v>
      </c>
      <c r="H14" s="14" t="n">
        <v>46275</v>
      </c>
      <c r="I14" s="12" t="s">
        <v>26</v>
      </c>
      <c r="J14" s="12" t="n">
        <f aca="false">COUNTIF(Tracker!$B$6:$B$38,$H$14)</f>
        <v>4</v>
      </c>
      <c r="K14" s="12" t="n">
        <f aca="false">COUNTIFS(Tracker!$B$6:$B$38,$H$14,Tracker!$K$6:$K$38,"Completed")</f>
        <v>0</v>
      </c>
      <c r="L14" s="12" t="n">
        <f aca="false">SUMIFS(Tracker!$L$6:$L$38,Tracker!$B$6:$B$38,$H$14)</f>
        <v>0</v>
      </c>
      <c r="M14" s="15" t="s">
        <v>27</v>
      </c>
    </row>
    <row r="15" customFormat="false" ht="15" hidden="false" customHeight="false" outlineLevel="0" collapsed="false">
      <c r="A15" s="11" t="s">
        <v>28</v>
      </c>
      <c r="B15" s="12" t="n">
        <f aca="false">COUNTIF(Tracker!$E$6:$E$38,$A$15)</f>
        <v>3</v>
      </c>
      <c r="C15" s="12" t="n">
        <f aca="false">COUNTIFS(Tracker!$E$6:$E$38,$A$15,Tracker!$K$6:$K$38,"Completed")</f>
        <v>0</v>
      </c>
      <c r="D15" s="12" t="n">
        <f aca="false">SUMIFS(Tracker!$L$6:$L$38,Tracker!$E$6:$E$38,$A$15)</f>
        <v>0</v>
      </c>
      <c r="E15" s="12" t="n">
        <f aca="false">SUMIFS(Tracker!$M$6:$M$38,Tracker!$E$6:$E$38,$A$15)</f>
        <v>0</v>
      </c>
      <c r="F15" s="13" t="n">
        <f aca="false">IFERROR(C15/B15,0)</f>
        <v>0</v>
      </c>
      <c r="H15" s="14" t="n">
        <v>46276</v>
      </c>
      <c r="I15" s="12" t="s">
        <v>29</v>
      </c>
      <c r="J15" s="12" t="n">
        <f aca="false">COUNTIF(Tracker!$B$6:$B$38,$H$15)</f>
        <v>4</v>
      </c>
      <c r="K15" s="12" t="n">
        <f aca="false">COUNTIFS(Tracker!$B$6:$B$38,$H$15,Tracker!$K$6:$K$38,"Completed")</f>
        <v>0</v>
      </c>
      <c r="L15" s="12" t="n">
        <f aca="false">SUMIFS(Tracker!$L$6:$L$38,Tracker!$B$6:$B$38,$H$15)</f>
        <v>0</v>
      </c>
      <c r="M15" s="15" t="s">
        <v>30</v>
      </c>
    </row>
    <row r="16" customFormat="false" ht="15" hidden="false" customHeight="false" outlineLevel="0" collapsed="false">
      <c r="A16" s="11" t="s">
        <v>31</v>
      </c>
      <c r="B16" s="12" t="n">
        <f aca="false">COUNTIF(Tracker!$E$6:$E$38,$A$16)</f>
        <v>2</v>
      </c>
      <c r="C16" s="12" t="n">
        <f aca="false">COUNTIFS(Tracker!$E$6:$E$38,$A$16,Tracker!$K$6:$K$38,"Completed")</f>
        <v>0</v>
      </c>
      <c r="D16" s="12" t="n">
        <f aca="false">SUMIFS(Tracker!$L$6:$L$38,Tracker!$E$6:$E$38,$A$16)</f>
        <v>0</v>
      </c>
      <c r="E16" s="12" t="n">
        <f aca="false">SUMIFS(Tracker!$M$6:$M$38,Tracker!$E$6:$E$38,$A$16)</f>
        <v>0</v>
      </c>
      <c r="F16" s="13" t="n">
        <f aca="false">IFERROR(C16/B16,0)</f>
        <v>0</v>
      </c>
      <c r="H16" s="14" t="n">
        <v>46277</v>
      </c>
      <c r="I16" s="12" t="s">
        <v>32</v>
      </c>
      <c r="J16" s="12" t="n">
        <f aca="false">COUNTIF(Tracker!$B$6:$B$38,$H$16)</f>
        <v>2</v>
      </c>
      <c r="K16" s="12" t="n">
        <f aca="false">COUNTIFS(Tracker!$B$6:$B$38,$H$16,Tracker!$K$6:$K$38,"Completed")</f>
        <v>0</v>
      </c>
      <c r="L16" s="12" t="n">
        <f aca="false">SUMIFS(Tracker!$L$6:$L$38,Tracker!$B$6:$B$38,$H$16)</f>
        <v>0</v>
      </c>
      <c r="M16" s="15" t="s">
        <v>33</v>
      </c>
    </row>
    <row r="17" customFormat="false" ht="15" hidden="false" customHeight="false" outlineLevel="0" collapsed="false">
      <c r="A17" s="11" t="s">
        <v>34</v>
      </c>
      <c r="B17" s="12" t="n">
        <f aca="false">COUNTIF(Tracker!$E$6:$E$38,$A$17)</f>
        <v>7</v>
      </c>
      <c r="C17" s="12" t="n">
        <f aca="false">COUNTIFS(Tracker!$E$6:$E$38,$A$17,Tracker!$K$6:$K$38,"Completed")</f>
        <v>0</v>
      </c>
      <c r="D17" s="12" t="n">
        <f aca="false">SUMIFS(Tracker!$L$6:$L$38,Tracker!$E$6:$E$38,$A$17)</f>
        <v>0</v>
      </c>
      <c r="E17" s="12" t="n">
        <f aca="false">SUMIFS(Tracker!$M$6:$M$38,Tracker!$E$6:$E$38,$A$17)</f>
        <v>0</v>
      </c>
      <c r="F17" s="13" t="n">
        <f aca="false">IFERROR(C17/B17,0)</f>
        <v>0</v>
      </c>
      <c r="H17" s="14" t="n">
        <v>46278</v>
      </c>
      <c r="I17" s="12" t="s">
        <v>35</v>
      </c>
      <c r="J17" s="12" t="n">
        <f aca="false">COUNTIF(Tracker!$B$6:$B$38,$H$17)</f>
        <v>2</v>
      </c>
      <c r="K17" s="12" t="n">
        <f aca="false">COUNTIFS(Tracker!$B$6:$B$38,$H$17,Tracker!$K$6:$K$38,"Completed")</f>
        <v>0</v>
      </c>
      <c r="L17" s="12" t="n">
        <f aca="false">SUMIFS(Tracker!$L$6:$L$38,Tracker!$B$6:$B$38,$H$17)</f>
        <v>0</v>
      </c>
      <c r="M17" s="15" t="s">
        <v>36</v>
      </c>
    </row>
    <row r="18" customFormat="false" ht="15" hidden="false" customHeight="false" outlineLevel="0" collapsed="false">
      <c r="A18" s="11" t="s">
        <v>37</v>
      </c>
      <c r="B18" s="12" t="n">
        <f aca="false">COUNTIF(Tracker!$E$6:$E$38,$A$18)</f>
        <v>2</v>
      </c>
      <c r="C18" s="12" t="n">
        <f aca="false">COUNTIFS(Tracker!$E$6:$E$38,$A$18,Tracker!$K$6:$K$38,"Completed")</f>
        <v>0</v>
      </c>
      <c r="D18" s="12" t="n">
        <f aca="false">SUMIFS(Tracker!$L$6:$L$38,Tracker!$E$6:$E$38,$A$18)</f>
        <v>0</v>
      </c>
      <c r="E18" s="12" t="n">
        <f aca="false">SUMIFS(Tracker!$M$6:$M$38,Tracker!$E$6:$E$38,$A$18)</f>
        <v>0</v>
      </c>
      <c r="F18" s="13" t="n">
        <f aca="false">IFERROR(C18/B18,0)</f>
        <v>0</v>
      </c>
      <c r="H18" s="14" t="n">
        <v>46279</v>
      </c>
      <c r="I18" s="12" t="s">
        <v>17</v>
      </c>
      <c r="J18" s="12" t="n">
        <f aca="false">COUNTIF(Tracker!$B$6:$B$38,$H$18)</f>
        <v>3</v>
      </c>
      <c r="K18" s="12" t="n">
        <f aca="false">COUNTIFS(Tracker!$B$6:$B$38,$H$18,Tracker!$K$6:$K$38,"Completed")</f>
        <v>0</v>
      </c>
      <c r="L18" s="12" t="n">
        <f aca="false">SUMIFS(Tracker!$L$6:$L$38,Tracker!$B$6:$B$38,$H$18)</f>
        <v>0</v>
      </c>
      <c r="M18" s="15" t="s">
        <v>38</v>
      </c>
    </row>
    <row r="19" customFormat="false" ht="15" hidden="false" customHeight="false" outlineLevel="0" collapsed="false">
      <c r="A19" s="16" t="s">
        <v>39</v>
      </c>
      <c r="B19" s="5" t="n">
        <f aca="false">SUM(B11:B18)</f>
        <v>33</v>
      </c>
      <c r="C19" s="5" t="n">
        <f aca="false">SUM(C11:C18)</f>
        <v>0</v>
      </c>
      <c r="D19" s="5" t="n">
        <f aca="false">SUM(D11:D18)</f>
        <v>0</v>
      </c>
      <c r="E19" s="5" t="n">
        <f aca="false">SUM(E11:E18)</f>
        <v>0</v>
      </c>
      <c r="F19" s="17" t="n">
        <f aca="false">IFERROR(C19/B19,0)</f>
        <v>0</v>
      </c>
      <c r="H19" s="14" t="n">
        <v>46280</v>
      </c>
      <c r="I19" s="12" t="s">
        <v>20</v>
      </c>
      <c r="J19" s="12" t="n">
        <f aca="false">COUNTIF(Tracker!$B$6:$B$38,$H$19)</f>
        <v>3</v>
      </c>
      <c r="K19" s="12" t="n">
        <f aca="false">COUNTIFS(Tracker!$B$6:$B$38,$H$19,Tracker!$K$6:$K$38,"Completed")</f>
        <v>0</v>
      </c>
      <c r="L19" s="12" t="n">
        <f aca="false">SUMIFS(Tracker!$L$6:$L$38,Tracker!$B$6:$B$38,$H$19)</f>
        <v>0</v>
      </c>
      <c r="M19" s="15" t="s">
        <v>40</v>
      </c>
    </row>
    <row r="20" customFormat="false" ht="15" hidden="false" customHeight="false" outlineLevel="0" collapsed="false">
      <c r="H20" s="14" t="n">
        <v>46281</v>
      </c>
      <c r="I20" s="12" t="s">
        <v>23</v>
      </c>
      <c r="J20" s="12" t="n">
        <f aca="false">COUNTIF(Tracker!$B$6:$B$38,$H$20)</f>
        <v>3</v>
      </c>
      <c r="K20" s="12" t="n">
        <f aca="false">COUNTIFS(Tracker!$B$6:$B$38,$H$20,Tracker!$K$6:$K$38,"Completed")</f>
        <v>0</v>
      </c>
      <c r="L20" s="12" t="n">
        <f aca="false">SUMIFS(Tracker!$L$6:$L$38,Tracker!$B$6:$B$38,$H$20)</f>
        <v>0</v>
      </c>
      <c r="M20" s="15" t="s">
        <v>41</v>
      </c>
    </row>
    <row r="21" customFormat="false" ht="15" hidden="false" customHeight="false" outlineLevel="0" collapsed="false">
      <c r="A21" s="9" t="s">
        <v>42</v>
      </c>
      <c r="B21" s="9"/>
      <c r="C21" s="9"/>
      <c r="D21" s="9"/>
      <c r="E21" s="9"/>
      <c r="F21" s="9"/>
    </row>
    <row r="22" customFormat="false" ht="23.85" hidden="false" customHeight="false" outlineLevel="0" collapsed="false">
      <c r="A22" s="10" t="s">
        <v>43</v>
      </c>
      <c r="B22" s="10" t="s">
        <v>44</v>
      </c>
      <c r="C22" s="10" t="s">
        <v>45</v>
      </c>
      <c r="D22" s="10" t="s">
        <v>46</v>
      </c>
      <c r="E22" s="10" t="s">
        <v>6</v>
      </c>
    </row>
    <row r="23" customFormat="false" ht="15" hidden="false" customHeight="false" outlineLevel="0" collapsed="false">
      <c r="A23" s="18" t="str">
        <f aca="false">IF('Follow-up Team'!$B$3="","",'Follow-up Team'!$B$3)</f>
        <v>Name (used in dropdown)</v>
      </c>
      <c r="B23" s="12" t="n">
        <f aca="false">IF('Follow-up Team'!$B$3="","",COUNTIF(Tracker!$N$6:$N$38,'Follow-up Team'!$B$3))</f>
        <v>0</v>
      </c>
      <c r="C23" s="12" t="n">
        <f aca="false">IF('Follow-up Team'!$B$3="","",COUNTIFS(Tracker!$N$6:$N$38,'Follow-up Team'!$B$3,Tracker!$O$6:$O$38,"Completed"))</f>
        <v>0</v>
      </c>
      <c r="D23" s="12" t="n">
        <f aca="false">IF('Follow-up Team'!$B$3="","",COUNTIFS(Tracker!$N$6:$N$38,'Follow-up Team'!$B$3,Tracker!$K$6:$K$38,"Completed"))</f>
        <v>0</v>
      </c>
      <c r="E23" s="12" t="n">
        <f aca="false">IF('Follow-up Team'!$B$3="","",SUMIFS(Tracker!$M$6:$M$38,Tracker!$N$6:$N$38,'Follow-up Team'!$B$3))</f>
        <v>0</v>
      </c>
    </row>
    <row r="24" customFormat="false" ht="15" hidden="false" customHeight="false" outlineLevel="0" collapsed="false">
      <c r="A24" s="18" t="str">
        <f aca="false">IF('Follow-up Team'!$B$4="","",'Follow-up Team'!$B$4)</f>
        <v>e.g. Ramesh Patel</v>
      </c>
      <c r="B24" s="12" t="n">
        <f aca="false">IF('Follow-up Team'!$B$4="","",COUNTIF(Tracker!$N$6:$N$38,'Follow-up Team'!$B$4))</f>
        <v>0</v>
      </c>
      <c r="C24" s="12" t="n">
        <f aca="false">IF('Follow-up Team'!$B$4="","",COUNTIFS(Tracker!$N$6:$N$38,'Follow-up Team'!$B$4,Tracker!$O$6:$O$38,"Completed"))</f>
        <v>0</v>
      </c>
      <c r="D24" s="12" t="n">
        <f aca="false">IF('Follow-up Team'!$B$4="","",COUNTIFS(Tracker!$N$6:$N$38,'Follow-up Team'!$B$4,Tracker!$K$6:$K$38,"Completed"))</f>
        <v>0</v>
      </c>
      <c r="E24" s="12" t="n">
        <f aca="false">IF('Follow-up Team'!$B$4="","",SUMIFS(Tracker!$M$6:$M$38,Tracker!$N$6:$N$38,'Follow-up Team'!$B$4))</f>
        <v>0</v>
      </c>
    </row>
    <row r="25" customFormat="false" ht="15" hidden="false" customHeight="false" outlineLevel="0" collapsed="false">
      <c r="A25" s="18" t="str">
        <f aca="false">IF('Follow-up Team'!$B$5="","",'Follow-up Team'!$B$5)</f>
        <v/>
      </c>
      <c r="B25" s="12" t="str">
        <f aca="false">IF('Follow-up Team'!$B$5="","",COUNTIF(Tracker!$N$6:$N$38,'Follow-up Team'!$B$5))</f>
        <v/>
      </c>
      <c r="C25" s="12" t="str">
        <f aca="false">IF('Follow-up Team'!$B$5="","",COUNTIFS(Tracker!$N$6:$N$38,'Follow-up Team'!$B$5,Tracker!$O$6:$O$38,"Completed"))</f>
        <v/>
      </c>
      <c r="D25" s="12" t="str">
        <f aca="false">IF('Follow-up Team'!$B$5="","",COUNTIFS(Tracker!$N$6:$N$38,'Follow-up Team'!$B$5,Tracker!$K$6:$K$38,"Completed"))</f>
        <v/>
      </c>
      <c r="E25" s="12" t="str">
        <f aca="false">IF('Follow-up Team'!$B$5="","",SUMIFS(Tracker!$M$6:$M$38,Tracker!$N$6:$N$38,'Follow-up Team'!$B$5))</f>
        <v/>
      </c>
    </row>
    <row r="26" customFormat="false" ht="15" hidden="false" customHeight="false" outlineLevel="0" collapsed="false">
      <c r="A26" s="18" t="str">
        <f aca="false">IF('Follow-up Team'!$B$6="","",'Follow-up Team'!$B$6)</f>
        <v/>
      </c>
      <c r="B26" s="12" t="str">
        <f aca="false">IF('Follow-up Team'!$B$6="","",COUNTIF(Tracker!$N$6:$N$38,'Follow-up Team'!$B$6))</f>
        <v/>
      </c>
      <c r="C26" s="12" t="str">
        <f aca="false">IF('Follow-up Team'!$B$6="","",COUNTIFS(Tracker!$N$6:$N$38,'Follow-up Team'!$B$6,Tracker!$O$6:$O$38,"Completed"))</f>
        <v/>
      </c>
      <c r="D26" s="12" t="str">
        <f aca="false">IF('Follow-up Team'!$B$6="","",COUNTIFS(Tracker!$N$6:$N$38,'Follow-up Team'!$B$6,Tracker!$K$6:$K$38,"Completed"))</f>
        <v/>
      </c>
      <c r="E26" s="12" t="str">
        <f aca="false">IF('Follow-up Team'!$B$6="","",SUMIFS(Tracker!$M$6:$M$38,Tracker!$N$6:$N$38,'Follow-up Team'!$B$6))</f>
        <v/>
      </c>
    </row>
    <row r="27" customFormat="false" ht="15" hidden="false" customHeight="false" outlineLevel="0" collapsed="false">
      <c r="A27" s="18" t="str">
        <f aca="false">IF('Follow-up Team'!$B$7="","",'Follow-up Team'!$B$7)</f>
        <v/>
      </c>
      <c r="B27" s="12" t="str">
        <f aca="false">IF('Follow-up Team'!$B$7="","",COUNTIF(Tracker!$N$6:$N$38,'Follow-up Team'!$B$7))</f>
        <v/>
      </c>
      <c r="C27" s="12" t="str">
        <f aca="false">IF('Follow-up Team'!$B$7="","",COUNTIFS(Tracker!$N$6:$N$38,'Follow-up Team'!$B$7,Tracker!$O$6:$O$38,"Completed"))</f>
        <v/>
      </c>
      <c r="D27" s="12" t="str">
        <f aca="false">IF('Follow-up Team'!$B$7="","",COUNTIFS(Tracker!$N$6:$N$38,'Follow-up Team'!$B$7,Tracker!$K$6:$K$38,"Completed"))</f>
        <v/>
      </c>
      <c r="E27" s="12" t="str">
        <f aca="false">IF('Follow-up Team'!$B$7="","",SUMIFS(Tracker!$M$6:$M$38,Tracker!$N$6:$N$38,'Follow-up Team'!$B$7))</f>
        <v/>
      </c>
    </row>
    <row r="28" customFormat="false" ht="15" hidden="false" customHeight="false" outlineLevel="0" collapsed="false">
      <c r="A28" s="18" t="str">
        <f aca="false">IF('Follow-up Team'!$B$8="","",'Follow-up Team'!$B$8)</f>
        <v/>
      </c>
      <c r="B28" s="12" t="str">
        <f aca="false">IF('Follow-up Team'!$B$8="","",COUNTIF(Tracker!$N$6:$N$38,'Follow-up Team'!$B$8))</f>
        <v/>
      </c>
      <c r="C28" s="12" t="str">
        <f aca="false">IF('Follow-up Team'!$B$8="","",COUNTIFS(Tracker!$N$6:$N$38,'Follow-up Team'!$B$8,Tracker!$O$6:$O$38,"Completed"))</f>
        <v/>
      </c>
      <c r="D28" s="12" t="str">
        <f aca="false">IF('Follow-up Team'!$B$8="","",COUNTIFS(Tracker!$N$6:$N$38,'Follow-up Team'!$B$8,Tracker!$K$6:$K$38,"Completed"))</f>
        <v/>
      </c>
      <c r="E28" s="12" t="str">
        <f aca="false">IF('Follow-up Team'!$B$8="","",SUMIFS(Tracker!$M$6:$M$38,Tracker!$N$6:$N$38,'Follow-up Team'!$B$8))</f>
        <v/>
      </c>
    </row>
    <row r="29" customFormat="false" ht="15" hidden="false" customHeight="false" outlineLevel="0" collapsed="false">
      <c r="A29" s="18" t="str">
        <f aca="false">IF('Follow-up Team'!$B$9="","",'Follow-up Team'!$B$9)</f>
        <v/>
      </c>
      <c r="B29" s="12" t="str">
        <f aca="false">IF('Follow-up Team'!$B$9="","",COUNTIF(Tracker!$N$6:$N$38,'Follow-up Team'!$B$9))</f>
        <v/>
      </c>
      <c r="C29" s="12" t="str">
        <f aca="false">IF('Follow-up Team'!$B$9="","",COUNTIFS(Tracker!$N$6:$N$38,'Follow-up Team'!$B$9,Tracker!$O$6:$O$38,"Completed"))</f>
        <v/>
      </c>
      <c r="D29" s="12" t="str">
        <f aca="false">IF('Follow-up Team'!$B$9="","",COUNTIFS(Tracker!$N$6:$N$38,'Follow-up Team'!$B$9,Tracker!$K$6:$K$38,"Completed"))</f>
        <v/>
      </c>
      <c r="E29" s="12" t="str">
        <f aca="false">IF('Follow-up Team'!$B$9="","",SUMIFS(Tracker!$M$6:$M$38,Tracker!$N$6:$N$38,'Follow-up Team'!$B$9))</f>
        <v/>
      </c>
    </row>
    <row r="30" customFormat="false" ht="15" hidden="false" customHeight="false" outlineLevel="0" collapsed="false">
      <c r="A30" s="18" t="str">
        <f aca="false">IF('Follow-up Team'!$B$10="","",'Follow-up Team'!$B$10)</f>
        <v/>
      </c>
      <c r="B30" s="12" t="str">
        <f aca="false">IF('Follow-up Team'!$B$10="","",COUNTIF(Tracker!$N$6:$N$38,'Follow-up Team'!$B$10))</f>
        <v/>
      </c>
      <c r="C30" s="12" t="str">
        <f aca="false">IF('Follow-up Team'!$B$10="","",COUNTIFS(Tracker!$N$6:$N$38,'Follow-up Team'!$B$10,Tracker!$O$6:$O$38,"Completed"))</f>
        <v/>
      </c>
      <c r="D30" s="12" t="str">
        <f aca="false">IF('Follow-up Team'!$B$10="","",COUNTIFS(Tracker!$N$6:$N$38,'Follow-up Team'!$B$10,Tracker!$K$6:$K$38,"Completed"))</f>
        <v/>
      </c>
      <c r="E30" s="12" t="str">
        <f aca="false">IF('Follow-up Team'!$B$10="","",SUMIFS(Tracker!$M$6:$M$38,Tracker!$N$6:$N$38,'Follow-up Team'!$B$10))</f>
        <v/>
      </c>
    </row>
    <row r="31" customFormat="false" ht="15" hidden="false" customHeight="false" outlineLevel="0" collapsed="false">
      <c r="A31" s="18" t="str">
        <f aca="false">IF('Follow-up Team'!$B$11="","",'Follow-up Team'!$B$11)</f>
        <v/>
      </c>
      <c r="B31" s="12" t="str">
        <f aca="false">IF('Follow-up Team'!$B$11="","",COUNTIF(Tracker!$N$6:$N$38,'Follow-up Team'!$B$11))</f>
        <v/>
      </c>
      <c r="C31" s="12" t="str">
        <f aca="false">IF('Follow-up Team'!$B$11="","",COUNTIFS(Tracker!$N$6:$N$38,'Follow-up Team'!$B$11,Tracker!$O$6:$O$38,"Completed"))</f>
        <v/>
      </c>
      <c r="D31" s="12" t="str">
        <f aca="false">IF('Follow-up Team'!$B$11="","",COUNTIFS(Tracker!$N$6:$N$38,'Follow-up Team'!$B$11,Tracker!$K$6:$K$38,"Completed"))</f>
        <v/>
      </c>
      <c r="E31" s="12" t="str">
        <f aca="false">IF('Follow-up Team'!$B$11="","",SUMIFS(Tracker!$M$6:$M$38,Tracker!$N$6:$N$38,'Follow-up Team'!$B$11))</f>
        <v/>
      </c>
    </row>
    <row r="32" customFormat="false" ht="15" hidden="false" customHeight="false" outlineLevel="0" collapsed="false">
      <c r="A32" s="18" t="str">
        <f aca="false">IF('Follow-up Team'!$B$12="","",'Follow-up Team'!$B$12)</f>
        <v/>
      </c>
      <c r="B32" s="12" t="str">
        <f aca="false">IF('Follow-up Team'!$B$12="","",COUNTIF(Tracker!$N$6:$N$38,'Follow-up Team'!$B$12))</f>
        <v/>
      </c>
      <c r="C32" s="12" t="str">
        <f aca="false">IF('Follow-up Team'!$B$12="","",COUNTIFS(Tracker!$N$6:$N$38,'Follow-up Team'!$B$12,Tracker!$O$6:$O$38,"Completed"))</f>
        <v/>
      </c>
      <c r="D32" s="12" t="str">
        <f aca="false">IF('Follow-up Team'!$B$12="","",COUNTIFS(Tracker!$N$6:$N$38,'Follow-up Team'!$B$12,Tracker!$K$6:$K$38,"Completed"))</f>
        <v/>
      </c>
      <c r="E32" s="12" t="str">
        <f aca="false">IF('Follow-up Team'!$B$12="","",SUMIFS(Tracker!$M$6:$M$38,Tracker!$N$6:$N$38,'Follow-up Team'!$B$12))</f>
        <v/>
      </c>
    </row>
    <row r="33" customFormat="false" ht="15" hidden="false" customHeight="false" outlineLevel="0" collapsed="false">
      <c r="A33" s="18" t="str">
        <f aca="false">IF('Follow-up Team'!$B$13="","",'Follow-up Team'!$B$13)</f>
        <v/>
      </c>
      <c r="B33" s="12" t="str">
        <f aca="false">IF('Follow-up Team'!$B$13="","",COUNTIF(Tracker!$N$6:$N$38,'Follow-up Team'!$B$13))</f>
        <v/>
      </c>
      <c r="C33" s="12" t="str">
        <f aca="false">IF('Follow-up Team'!$B$13="","",COUNTIFS(Tracker!$N$6:$N$38,'Follow-up Team'!$B$13,Tracker!$O$6:$O$38,"Completed"))</f>
        <v/>
      </c>
      <c r="D33" s="12" t="str">
        <f aca="false">IF('Follow-up Team'!$B$13="","",COUNTIFS(Tracker!$N$6:$N$38,'Follow-up Team'!$B$13,Tracker!$K$6:$K$38,"Completed"))</f>
        <v/>
      </c>
      <c r="E33" s="12" t="str">
        <f aca="false">IF('Follow-up Team'!$B$13="","",SUMIFS(Tracker!$M$6:$M$38,Tracker!$N$6:$N$38,'Follow-up Team'!$B$13))</f>
        <v/>
      </c>
    </row>
    <row r="34" customFormat="false" ht="15" hidden="false" customHeight="false" outlineLevel="0" collapsed="false">
      <c r="A34" s="18" t="str">
        <f aca="false">IF('Follow-up Team'!$B$14="","",'Follow-up Team'!$B$14)</f>
        <v/>
      </c>
      <c r="B34" s="12" t="str">
        <f aca="false">IF('Follow-up Team'!$B$14="","",COUNTIF(Tracker!$N$6:$N$38,'Follow-up Team'!$B$14))</f>
        <v/>
      </c>
      <c r="C34" s="12" t="str">
        <f aca="false">IF('Follow-up Team'!$B$14="","",COUNTIFS(Tracker!$N$6:$N$38,'Follow-up Team'!$B$14,Tracker!$O$6:$O$38,"Completed"))</f>
        <v/>
      </c>
      <c r="D34" s="12" t="str">
        <f aca="false">IF('Follow-up Team'!$B$14="","",COUNTIFS(Tracker!$N$6:$N$38,'Follow-up Team'!$B$14,Tracker!$K$6:$K$38,"Completed"))</f>
        <v/>
      </c>
      <c r="E34" s="12" t="str">
        <f aca="false">IF('Follow-up Team'!$B$14="","",SUMIFS(Tracker!$M$6:$M$38,Tracker!$N$6:$N$38,'Follow-up Team'!$B$14))</f>
        <v/>
      </c>
    </row>
  </sheetData>
  <sheetProtection sheet="true" password="ed33" formatCells="false" insertRows="false" deleteRows="false" selectLockedCells="true" selectUnlockedCells="true"/>
  <mergeCells count="6">
    <mergeCell ref="A1:F1"/>
    <mergeCell ref="A2:F2"/>
    <mergeCell ref="A3:F3"/>
    <mergeCell ref="A9:F9"/>
    <mergeCell ref="H9:M9"/>
    <mergeCell ref="A21:F21"/>
  </mergeCells>
  <conditionalFormatting sqref="B11:B18">
    <cfRule type="dataBar" priority="2">
      <dataBar showValue="1" minLength="10" maxLength="90">
        <cfvo type="num" val="0"/>
        <cfvo type="max" val="0"/>
        <color rgb="FF35617D"/>
      </dataBar>
      <extLst>
        <ext xmlns:x14="http://schemas.microsoft.com/office/spreadsheetml/2009/9/main" uri="{B025F937-C7B1-47D3-B67F-A62EFF666E3E}">
          <x14:id>{4B491B7E-3C68-48E8-895E-FD7DEE56FACC}</x14:id>
        </ext>
      </extLst>
    </cfRule>
  </conditionalFormatting>
  <conditionalFormatting sqref="J11:J20">
    <cfRule type="dataBar" priority="3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{DAFAF318-69FE-498A-AB75-654A4E6ED48E}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491B7E-3C68-48E8-895E-FD7DEE56FACC}">
            <x14:dataBar minLength="10" maxLength="90" axisPosition="none" gradient="true">
              <x14:cfvo type="num">
                <xm:f>0</xm:f>
              </x14:cfvo>
              <x14:cfvo type="max"/>
              <x14:negativeFillColor rgb="FF35617D"/>
              <x14:axisColor rgb="FF000000"/>
            </x14:dataBar>
          </x14:cfRule>
          <xm:sqref>B11:B18</xm:sqref>
        </x14:conditionalFormatting>
        <x14:conditionalFormatting xmlns:xm="http://schemas.microsoft.com/office/excel/2006/main">
          <x14:cfRule type="dataBar" id="{DAFAF318-69FE-498A-AB75-654A4E6ED48E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J11:J20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6" min="5" style="0" width="20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1" min="10" style="0" width="15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8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26"/>
  </cols>
  <sheetData>
    <row r="1" customFormat="false" ht="18.55" hidden="false" customHeight="false" outlineLevel="0" collapsed="false">
      <c r="A1" s="19" t="s">
        <v>47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customFormat="false" ht="15" hidden="false" customHeight="false" outlineLevel="0" collapsed="false">
      <c r="A2" s="20" t="s">
        <v>48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15" hidden="false" customHeight="false" outlineLevel="0" collapsed="false">
      <c r="A3" s="21" t="s">
        <v>49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5" customFormat="false" ht="31.5" hidden="false" customHeight="true" outlineLevel="0" collapsed="false">
      <c r="A5" s="10" t="s">
        <v>50</v>
      </c>
      <c r="B5" s="10" t="s">
        <v>51</v>
      </c>
      <c r="C5" s="10" t="s">
        <v>14</v>
      </c>
      <c r="D5" s="10" t="s">
        <v>52</v>
      </c>
      <c r="E5" s="10" t="s">
        <v>10</v>
      </c>
      <c r="F5" s="10" t="s">
        <v>53</v>
      </c>
      <c r="G5" s="10" t="s">
        <v>54</v>
      </c>
      <c r="H5" s="10" t="s">
        <v>55</v>
      </c>
      <c r="I5" s="10" t="s">
        <v>56</v>
      </c>
      <c r="J5" s="10" t="s">
        <v>57</v>
      </c>
      <c r="K5" s="22" t="s">
        <v>58</v>
      </c>
      <c r="L5" s="22" t="s">
        <v>59</v>
      </c>
      <c r="M5" s="22" t="s">
        <v>60</v>
      </c>
      <c r="N5" s="22" t="s">
        <v>43</v>
      </c>
      <c r="O5" s="22" t="s">
        <v>61</v>
      </c>
      <c r="P5" s="22" t="s">
        <v>62</v>
      </c>
      <c r="Q5" s="22" t="s">
        <v>63</v>
      </c>
    </row>
    <row r="6" customFormat="false" ht="15.75" hidden="false" customHeight="true" outlineLevel="0" collapsed="false">
      <c r="A6" s="23" t="n">
        <v>1</v>
      </c>
      <c r="B6" s="24" t="n">
        <v>46272</v>
      </c>
      <c r="C6" s="23" t="s">
        <v>17</v>
      </c>
      <c r="D6" s="25" t="s">
        <v>64</v>
      </c>
      <c r="E6" s="26" t="s">
        <v>16</v>
      </c>
      <c r="F6" s="26" t="s">
        <v>65</v>
      </c>
      <c r="G6" s="26" t="s">
        <v>66</v>
      </c>
      <c r="H6" s="27" t="s">
        <v>67</v>
      </c>
      <c r="I6" s="28" t="s">
        <v>67</v>
      </c>
      <c r="J6" s="23" t="s">
        <v>35</v>
      </c>
      <c r="K6" s="29"/>
      <c r="L6" s="30"/>
      <c r="M6" s="30"/>
      <c r="N6" s="31"/>
      <c r="O6" s="29"/>
      <c r="P6" s="32"/>
      <c r="Q6" s="33"/>
    </row>
    <row r="7" customFormat="false" ht="15.75" hidden="false" customHeight="true" outlineLevel="0" collapsed="false">
      <c r="A7" s="34" t="n">
        <v>2</v>
      </c>
      <c r="B7" s="35" t="n">
        <v>46272</v>
      </c>
      <c r="C7" s="34" t="s">
        <v>17</v>
      </c>
      <c r="D7" s="36" t="s">
        <v>68</v>
      </c>
      <c r="E7" s="37" t="s">
        <v>22</v>
      </c>
      <c r="F7" s="37" t="s">
        <v>69</v>
      </c>
      <c r="G7" s="37" t="s">
        <v>70</v>
      </c>
      <c r="H7" s="38" t="s">
        <v>67</v>
      </c>
      <c r="I7" s="39" t="s">
        <v>67</v>
      </c>
      <c r="J7" s="34" t="s">
        <v>32</v>
      </c>
      <c r="K7" s="29"/>
      <c r="L7" s="30"/>
      <c r="M7" s="30"/>
      <c r="N7" s="31"/>
      <c r="O7" s="29"/>
      <c r="P7" s="32"/>
      <c r="Q7" s="33"/>
    </row>
    <row r="8" customFormat="false" ht="15.75" hidden="false" customHeight="true" outlineLevel="0" collapsed="false">
      <c r="A8" s="23" t="n">
        <v>3</v>
      </c>
      <c r="B8" s="24" t="n">
        <v>46272</v>
      </c>
      <c r="C8" s="23" t="s">
        <v>17</v>
      </c>
      <c r="D8" s="25" t="s">
        <v>71</v>
      </c>
      <c r="E8" s="26" t="s">
        <v>25</v>
      </c>
      <c r="F8" s="26" t="s">
        <v>72</v>
      </c>
      <c r="G8" s="26" t="s">
        <v>73</v>
      </c>
      <c r="H8" s="27" t="s">
        <v>67</v>
      </c>
      <c r="I8" s="28" t="s">
        <v>67</v>
      </c>
      <c r="J8" s="23" t="s">
        <v>35</v>
      </c>
      <c r="K8" s="29"/>
      <c r="L8" s="30"/>
      <c r="M8" s="30"/>
      <c r="N8" s="31"/>
      <c r="O8" s="29"/>
      <c r="P8" s="32"/>
      <c r="Q8" s="33"/>
    </row>
    <row r="9" customFormat="false" ht="15.75" hidden="false" customHeight="true" outlineLevel="0" collapsed="false">
      <c r="A9" s="34" t="n">
        <v>4</v>
      </c>
      <c r="B9" s="35" t="n">
        <v>46272</v>
      </c>
      <c r="C9" s="34" t="s">
        <v>17</v>
      </c>
      <c r="D9" s="36" t="s">
        <v>74</v>
      </c>
      <c r="E9" s="37" t="s">
        <v>34</v>
      </c>
      <c r="F9" s="37" t="s">
        <v>75</v>
      </c>
      <c r="G9" s="37" t="s">
        <v>76</v>
      </c>
      <c r="H9" s="38" t="s">
        <v>69</v>
      </c>
      <c r="I9" s="39" t="s">
        <v>77</v>
      </c>
      <c r="J9" s="34" t="s">
        <v>35</v>
      </c>
      <c r="K9" s="29"/>
      <c r="L9" s="30"/>
      <c r="M9" s="30"/>
      <c r="N9" s="31"/>
      <c r="O9" s="29"/>
      <c r="P9" s="32"/>
      <c r="Q9" s="33"/>
    </row>
    <row r="10" customFormat="false" ht="15.75" hidden="false" customHeight="true" outlineLevel="0" collapsed="false">
      <c r="A10" s="23" t="n">
        <v>5</v>
      </c>
      <c r="B10" s="24" t="n">
        <v>46273</v>
      </c>
      <c r="C10" s="23" t="s">
        <v>20</v>
      </c>
      <c r="D10" s="25" t="s">
        <v>78</v>
      </c>
      <c r="E10" s="26" t="s">
        <v>19</v>
      </c>
      <c r="F10" s="26" t="s">
        <v>79</v>
      </c>
      <c r="G10" s="26" t="s">
        <v>80</v>
      </c>
      <c r="H10" s="27" t="s">
        <v>67</v>
      </c>
      <c r="I10" s="28" t="s">
        <v>67</v>
      </c>
      <c r="J10" s="23" t="s">
        <v>35</v>
      </c>
      <c r="K10" s="29"/>
      <c r="L10" s="30"/>
      <c r="M10" s="30"/>
      <c r="N10" s="31"/>
      <c r="O10" s="29"/>
      <c r="P10" s="32"/>
      <c r="Q10" s="33"/>
    </row>
    <row r="11" customFormat="false" ht="15.75" hidden="false" customHeight="true" outlineLevel="0" collapsed="false">
      <c r="A11" s="34" t="n">
        <v>6</v>
      </c>
      <c r="B11" s="35" t="n">
        <v>46273</v>
      </c>
      <c r="C11" s="34" t="s">
        <v>20</v>
      </c>
      <c r="D11" s="36" t="s">
        <v>81</v>
      </c>
      <c r="E11" s="37" t="s">
        <v>22</v>
      </c>
      <c r="F11" s="37" t="s">
        <v>82</v>
      </c>
      <c r="G11" s="37" t="s">
        <v>83</v>
      </c>
      <c r="H11" s="38" t="s">
        <v>67</v>
      </c>
      <c r="I11" s="39" t="s">
        <v>67</v>
      </c>
      <c r="J11" s="34" t="s">
        <v>35</v>
      </c>
      <c r="K11" s="29"/>
      <c r="L11" s="30"/>
      <c r="M11" s="30"/>
      <c r="N11" s="31"/>
      <c r="O11" s="29"/>
      <c r="P11" s="32"/>
      <c r="Q11" s="33"/>
    </row>
    <row r="12" customFormat="false" ht="30" hidden="false" customHeight="true" outlineLevel="0" collapsed="false">
      <c r="A12" s="23" t="n">
        <v>7</v>
      </c>
      <c r="B12" s="24" t="n">
        <v>46273</v>
      </c>
      <c r="C12" s="23" t="s">
        <v>20</v>
      </c>
      <c r="D12" s="25" t="s">
        <v>84</v>
      </c>
      <c r="E12" s="26" t="s">
        <v>28</v>
      </c>
      <c r="F12" s="26" t="s">
        <v>85</v>
      </c>
      <c r="G12" s="26" t="s">
        <v>86</v>
      </c>
      <c r="H12" s="27" t="s">
        <v>87</v>
      </c>
      <c r="I12" s="28" t="s">
        <v>88</v>
      </c>
      <c r="J12" s="23" t="s">
        <v>35</v>
      </c>
      <c r="K12" s="29"/>
      <c r="L12" s="30"/>
      <c r="M12" s="30"/>
      <c r="N12" s="31"/>
      <c r="O12" s="29"/>
      <c r="P12" s="32"/>
      <c r="Q12" s="33"/>
    </row>
    <row r="13" customFormat="false" ht="15.75" hidden="false" customHeight="true" outlineLevel="0" collapsed="false">
      <c r="A13" s="34" t="n">
        <v>8</v>
      </c>
      <c r="B13" s="35" t="n">
        <v>46273</v>
      </c>
      <c r="C13" s="34" t="s">
        <v>20</v>
      </c>
      <c r="D13" s="36" t="s">
        <v>89</v>
      </c>
      <c r="E13" s="37" t="s">
        <v>34</v>
      </c>
      <c r="F13" s="37" t="s">
        <v>90</v>
      </c>
      <c r="G13" s="37" t="s">
        <v>91</v>
      </c>
      <c r="H13" s="38" t="s">
        <v>92</v>
      </c>
      <c r="I13" s="39" t="s">
        <v>93</v>
      </c>
      <c r="J13" s="34" t="s">
        <v>32</v>
      </c>
      <c r="K13" s="29"/>
      <c r="L13" s="30"/>
      <c r="M13" s="30"/>
      <c r="N13" s="31"/>
      <c r="O13" s="29"/>
      <c r="P13" s="32"/>
      <c r="Q13" s="33"/>
    </row>
    <row r="14" customFormat="false" ht="15.75" hidden="false" customHeight="true" outlineLevel="0" collapsed="false">
      <c r="A14" s="23" t="n">
        <v>9</v>
      </c>
      <c r="B14" s="24" t="n">
        <v>46274</v>
      </c>
      <c r="C14" s="23" t="s">
        <v>23</v>
      </c>
      <c r="D14" s="25" t="s">
        <v>94</v>
      </c>
      <c r="E14" s="26" t="s">
        <v>19</v>
      </c>
      <c r="F14" s="26" t="s">
        <v>95</v>
      </c>
      <c r="G14" s="26" t="s">
        <v>96</v>
      </c>
      <c r="H14" s="27" t="s">
        <v>67</v>
      </c>
      <c r="I14" s="28" t="s">
        <v>67</v>
      </c>
      <c r="J14" s="23" t="s">
        <v>35</v>
      </c>
      <c r="K14" s="29"/>
      <c r="L14" s="30"/>
      <c r="M14" s="30"/>
      <c r="N14" s="31"/>
      <c r="O14" s="29"/>
      <c r="P14" s="32"/>
      <c r="Q14" s="33"/>
    </row>
    <row r="15" customFormat="false" ht="15.75" hidden="false" customHeight="true" outlineLevel="0" collapsed="false">
      <c r="A15" s="34" t="n">
        <v>10</v>
      </c>
      <c r="B15" s="35" t="n">
        <v>46274</v>
      </c>
      <c r="C15" s="34" t="s">
        <v>23</v>
      </c>
      <c r="D15" s="36" t="s">
        <v>97</v>
      </c>
      <c r="E15" s="37" t="s">
        <v>25</v>
      </c>
      <c r="F15" s="37" t="s">
        <v>98</v>
      </c>
      <c r="G15" s="37" t="s">
        <v>99</v>
      </c>
      <c r="H15" s="38" t="s">
        <v>100</v>
      </c>
      <c r="I15" s="39" t="s">
        <v>101</v>
      </c>
      <c r="J15" s="34" t="s">
        <v>35</v>
      </c>
      <c r="K15" s="29"/>
      <c r="L15" s="30"/>
      <c r="M15" s="30"/>
      <c r="N15" s="31"/>
      <c r="O15" s="29"/>
      <c r="P15" s="32"/>
      <c r="Q15" s="33"/>
    </row>
    <row r="16" customFormat="false" ht="15.75" hidden="false" customHeight="true" outlineLevel="0" collapsed="false">
      <c r="A16" s="23" t="n">
        <v>11</v>
      </c>
      <c r="B16" s="24" t="n">
        <v>46274</v>
      </c>
      <c r="C16" s="23" t="s">
        <v>23</v>
      </c>
      <c r="D16" s="25" t="s">
        <v>102</v>
      </c>
      <c r="E16" s="26" t="s">
        <v>28</v>
      </c>
      <c r="F16" s="26" t="s">
        <v>103</v>
      </c>
      <c r="G16" s="26" t="s">
        <v>104</v>
      </c>
      <c r="H16" s="27" t="s">
        <v>67</v>
      </c>
      <c r="I16" s="28" t="s">
        <v>67</v>
      </c>
      <c r="J16" s="23" t="s">
        <v>32</v>
      </c>
      <c r="K16" s="29"/>
      <c r="L16" s="30"/>
      <c r="M16" s="30"/>
      <c r="N16" s="31"/>
      <c r="O16" s="29"/>
      <c r="P16" s="32"/>
      <c r="Q16" s="33"/>
    </row>
    <row r="17" customFormat="false" ht="15.75" hidden="false" customHeight="true" outlineLevel="0" collapsed="false">
      <c r="A17" s="34" t="n">
        <v>12</v>
      </c>
      <c r="B17" s="35" t="n">
        <v>46274</v>
      </c>
      <c r="C17" s="34" t="s">
        <v>23</v>
      </c>
      <c r="D17" s="36" t="s">
        <v>105</v>
      </c>
      <c r="E17" s="37" t="s">
        <v>34</v>
      </c>
      <c r="F17" s="37" t="s">
        <v>106</v>
      </c>
      <c r="G17" s="37" t="s">
        <v>107</v>
      </c>
      <c r="H17" s="38" t="s">
        <v>108</v>
      </c>
      <c r="I17" s="39" t="s">
        <v>109</v>
      </c>
      <c r="J17" s="34" t="s">
        <v>35</v>
      </c>
      <c r="K17" s="29"/>
      <c r="L17" s="30"/>
      <c r="M17" s="30"/>
      <c r="N17" s="31"/>
      <c r="O17" s="29"/>
      <c r="P17" s="32"/>
      <c r="Q17" s="33"/>
    </row>
    <row r="18" customFormat="false" ht="15.75" hidden="false" customHeight="true" outlineLevel="0" collapsed="false">
      <c r="A18" s="23" t="n">
        <v>13</v>
      </c>
      <c r="B18" s="24" t="n">
        <v>46275</v>
      </c>
      <c r="C18" s="23" t="s">
        <v>26</v>
      </c>
      <c r="D18" s="25" t="s">
        <v>110</v>
      </c>
      <c r="E18" s="26" t="s">
        <v>19</v>
      </c>
      <c r="F18" s="26" t="s">
        <v>111</v>
      </c>
      <c r="G18" s="26" t="s">
        <v>112</v>
      </c>
      <c r="H18" s="27" t="s">
        <v>67</v>
      </c>
      <c r="I18" s="28" t="s">
        <v>67</v>
      </c>
      <c r="J18" s="23" t="s">
        <v>35</v>
      </c>
      <c r="K18" s="29"/>
      <c r="L18" s="30"/>
      <c r="M18" s="30"/>
      <c r="N18" s="31"/>
      <c r="O18" s="29"/>
      <c r="P18" s="32"/>
      <c r="Q18" s="33"/>
    </row>
    <row r="19" customFormat="false" ht="15.75" hidden="false" customHeight="true" outlineLevel="0" collapsed="false">
      <c r="A19" s="34" t="n">
        <v>14</v>
      </c>
      <c r="B19" s="35" t="n">
        <v>46275</v>
      </c>
      <c r="C19" s="34" t="s">
        <v>26</v>
      </c>
      <c r="D19" s="36" t="s">
        <v>113</v>
      </c>
      <c r="E19" s="37" t="s">
        <v>25</v>
      </c>
      <c r="F19" s="37" t="s">
        <v>114</v>
      </c>
      <c r="G19" s="37" t="s">
        <v>115</v>
      </c>
      <c r="H19" s="38" t="s">
        <v>114</v>
      </c>
      <c r="I19" s="39" t="s">
        <v>115</v>
      </c>
      <c r="J19" s="34" t="s">
        <v>35</v>
      </c>
      <c r="K19" s="29"/>
      <c r="L19" s="30"/>
      <c r="M19" s="30"/>
      <c r="N19" s="31"/>
      <c r="O19" s="29"/>
      <c r="P19" s="32"/>
      <c r="Q19" s="33"/>
    </row>
    <row r="20" customFormat="false" ht="15.75" hidden="false" customHeight="true" outlineLevel="0" collapsed="false">
      <c r="A20" s="23" t="n">
        <v>15</v>
      </c>
      <c r="B20" s="24" t="n">
        <v>46275</v>
      </c>
      <c r="C20" s="23" t="s">
        <v>26</v>
      </c>
      <c r="D20" s="25" t="s">
        <v>116</v>
      </c>
      <c r="E20" s="26" t="s">
        <v>28</v>
      </c>
      <c r="F20" s="26" t="s">
        <v>117</v>
      </c>
      <c r="G20" s="26" t="s">
        <v>118</v>
      </c>
      <c r="H20" s="27" t="s">
        <v>67</v>
      </c>
      <c r="I20" s="28" t="s">
        <v>67</v>
      </c>
      <c r="J20" s="23" t="s">
        <v>32</v>
      </c>
      <c r="K20" s="29"/>
      <c r="L20" s="30"/>
      <c r="M20" s="30"/>
      <c r="N20" s="31"/>
      <c r="O20" s="29"/>
      <c r="P20" s="32"/>
      <c r="Q20" s="33"/>
    </row>
    <row r="21" customFormat="false" ht="15.75" hidden="false" customHeight="true" outlineLevel="0" collapsed="false">
      <c r="A21" s="34" t="n">
        <v>16</v>
      </c>
      <c r="B21" s="35" t="n">
        <v>46275</v>
      </c>
      <c r="C21" s="34" t="s">
        <v>26</v>
      </c>
      <c r="D21" s="36" t="s">
        <v>119</v>
      </c>
      <c r="E21" s="37" t="s">
        <v>34</v>
      </c>
      <c r="F21" s="37" t="s">
        <v>120</v>
      </c>
      <c r="G21" s="37" t="s">
        <v>121</v>
      </c>
      <c r="H21" s="38" t="s">
        <v>67</v>
      </c>
      <c r="I21" s="39" t="s">
        <v>67</v>
      </c>
      <c r="J21" s="34" t="s">
        <v>35</v>
      </c>
      <c r="K21" s="29"/>
      <c r="L21" s="30"/>
      <c r="M21" s="30"/>
      <c r="N21" s="31"/>
      <c r="O21" s="29"/>
      <c r="P21" s="32"/>
      <c r="Q21" s="33"/>
    </row>
    <row r="22" customFormat="false" ht="15.75" hidden="false" customHeight="true" outlineLevel="0" collapsed="false">
      <c r="A22" s="23" t="n">
        <v>17</v>
      </c>
      <c r="B22" s="24" t="n">
        <v>46276</v>
      </c>
      <c r="C22" s="23" t="s">
        <v>29</v>
      </c>
      <c r="D22" s="25" t="s">
        <v>122</v>
      </c>
      <c r="E22" s="26" t="s">
        <v>19</v>
      </c>
      <c r="F22" s="26" t="s">
        <v>123</v>
      </c>
      <c r="G22" s="26" t="s">
        <v>124</v>
      </c>
      <c r="H22" s="27" t="s">
        <v>67</v>
      </c>
      <c r="I22" s="28" t="s">
        <v>67</v>
      </c>
      <c r="J22" s="23" t="s">
        <v>32</v>
      </c>
      <c r="K22" s="29"/>
      <c r="L22" s="30"/>
      <c r="M22" s="30"/>
      <c r="N22" s="31"/>
      <c r="O22" s="29"/>
      <c r="P22" s="32"/>
      <c r="Q22" s="33"/>
    </row>
    <row r="23" customFormat="false" ht="15.75" hidden="false" customHeight="true" outlineLevel="0" collapsed="false">
      <c r="A23" s="34" t="n">
        <v>18</v>
      </c>
      <c r="B23" s="35" t="n">
        <v>46276</v>
      </c>
      <c r="C23" s="34" t="s">
        <v>29</v>
      </c>
      <c r="D23" s="36" t="s">
        <v>125</v>
      </c>
      <c r="E23" s="37" t="s">
        <v>25</v>
      </c>
      <c r="F23" s="37" t="s">
        <v>126</v>
      </c>
      <c r="G23" s="37" t="s">
        <v>127</v>
      </c>
      <c r="H23" s="38" t="s">
        <v>67</v>
      </c>
      <c r="I23" s="39" t="s">
        <v>67</v>
      </c>
      <c r="J23" s="34" t="s">
        <v>35</v>
      </c>
      <c r="K23" s="29"/>
      <c r="L23" s="30"/>
      <c r="M23" s="30"/>
      <c r="N23" s="31"/>
      <c r="O23" s="29"/>
      <c r="P23" s="32"/>
      <c r="Q23" s="33"/>
    </row>
    <row r="24" customFormat="false" ht="15.75" hidden="false" customHeight="true" outlineLevel="0" collapsed="false">
      <c r="A24" s="23" t="n">
        <v>19</v>
      </c>
      <c r="B24" s="24" t="n">
        <v>46276</v>
      </c>
      <c r="C24" s="23" t="s">
        <v>29</v>
      </c>
      <c r="D24" s="25" t="s">
        <v>128</v>
      </c>
      <c r="E24" s="26" t="s">
        <v>31</v>
      </c>
      <c r="F24" s="26" t="s">
        <v>129</v>
      </c>
      <c r="G24" s="26" t="s">
        <v>130</v>
      </c>
      <c r="H24" s="27" t="s">
        <v>67</v>
      </c>
      <c r="I24" s="28" t="s">
        <v>67</v>
      </c>
      <c r="J24" s="23" t="s">
        <v>35</v>
      </c>
      <c r="K24" s="29"/>
      <c r="L24" s="30"/>
      <c r="M24" s="30"/>
      <c r="N24" s="31"/>
      <c r="O24" s="29"/>
      <c r="P24" s="32"/>
      <c r="Q24" s="33"/>
    </row>
    <row r="25" customFormat="false" ht="15.75" hidden="false" customHeight="true" outlineLevel="0" collapsed="false">
      <c r="A25" s="34" t="n">
        <v>20</v>
      </c>
      <c r="B25" s="35" t="n">
        <v>46276</v>
      </c>
      <c r="C25" s="34" t="s">
        <v>29</v>
      </c>
      <c r="D25" s="36" t="s">
        <v>131</v>
      </c>
      <c r="E25" s="37" t="s">
        <v>37</v>
      </c>
      <c r="F25" s="37" t="s">
        <v>132</v>
      </c>
      <c r="G25" s="37" t="s">
        <v>133</v>
      </c>
      <c r="H25" s="38" t="s">
        <v>134</v>
      </c>
      <c r="I25" s="39" t="s">
        <v>135</v>
      </c>
      <c r="J25" s="34" t="s">
        <v>35</v>
      </c>
      <c r="K25" s="29"/>
      <c r="L25" s="30"/>
      <c r="M25" s="30"/>
      <c r="N25" s="31"/>
      <c r="O25" s="29"/>
      <c r="P25" s="32"/>
      <c r="Q25" s="33"/>
    </row>
    <row r="26" customFormat="false" ht="15.75" hidden="false" customHeight="true" outlineLevel="0" collapsed="false">
      <c r="A26" s="23" t="n">
        <v>21</v>
      </c>
      <c r="B26" s="24" t="n">
        <v>46277</v>
      </c>
      <c r="C26" s="23" t="s">
        <v>32</v>
      </c>
      <c r="D26" s="25" t="s">
        <v>136</v>
      </c>
      <c r="E26" s="26" t="s">
        <v>19</v>
      </c>
      <c r="F26" s="26" t="s">
        <v>137</v>
      </c>
      <c r="G26" s="26" t="s">
        <v>138</v>
      </c>
      <c r="H26" s="27" t="s">
        <v>67</v>
      </c>
      <c r="I26" s="28" t="s">
        <v>67</v>
      </c>
      <c r="J26" s="23" t="s">
        <v>35</v>
      </c>
      <c r="K26" s="29"/>
      <c r="L26" s="30"/>
      <c r="M26" s="30"/>
      <c r="N26" s="31"/>
      <c r="O26" s="29"/>
      <c r="P26" s="32"/>
      <c r="Q26" s="33"/>
    </row>
    <row r="27" customFormat="false" ht="15.75" hidden="false" customHeight="true" outlineLevel="0" collapsed="false">
      <c r="A27" s="34" t="n">
        <v>22</v>
      </c>
      <c r="B27" s="35" t="n">
        <v>46277</v>
      </c>
      <c r="C27" s="34" t="s">
        <v>32</v>
      </c>
      <c r="D27" s="36" t="s">
        <v>139</v>
      </c>
      <c r="E27" s="37" t="s">
        <v>37</v>
      </c>
      <c r="F27" s="37" t="s">
        <v>140</v>
      </c>
      <c r="G27" s="37" t="s">
        <v>141</v>
      </c>
      <c r="H27" s="38" t="s">
        <v>142</v>
      </c>
      <c r="I27" s="39" t="s">
        <v>143</v>
      </c>
      <c r="J27" s="34" t="s">
        <v>35</v>
      </c>
      <c r="K27" s="29"/>
      <c r="L27" s="30"/>
      <c r="M27" s="30"/>
      <c r="N27" s="31"/>
      <c r="O27" s="29"/>
      <c r="P27" s="32"/>
      <c r="Q27" s="33"/>
    </row>
    <row r="28" customFormat="false" ht="15.75" hidden="false" customHeight="true" outlineLevel="0" collapsed="false">
      <c r="A28" s="23" t="n">
        <v>23</v>
      </c>
      <c r="B28" s="24" t="n">
        <v>46278</v>
      </c>
      <c r="C28" s="23" t="s">
        <v>35</v>
      </c>
      <c r="D28" s="25" t="s">
        <v>144</v>
      </c>
      <c r="E28" s="26" t="s">
        <v>25</v>
      </c>
      <c r="F28" s="26" t="s">
        <v>145</v>
      </c>
      <c r="G28" s="26" t="s">
        <v>146</v>
      </c>
      <c r="H28" s="27" t="s">
        <v>67</v>
      </c>
      <c r="I28" s="28" t="s">
        <v>67</v>
      </c>
      <c r="J28" s="23" t="s">
        <v>32</v>
      </c>
      <c r="K28" s="29"/>
      <c r="L28" s="30"/>
      <c r="M28" s="30"/>
      <c r="N28" s="31"/>
      <c r="O28" s="29"/>
      <c r="P28" s="32"/>
      <c r="Q28" s="33"/>
    </row>
    <row r="29" customFormat="false" ht="15.75" hidden="false" customHeight="true" outlineLevel="0" collapsed="false">
      <c r="A29" s="34" t="n">
        <v>24</v>
      </c>
      <c r="B29" s="35" t="n">
        <v>46278</v>
      </c>
      <c r="C29" s="34" t="s">
        <v>35</v>
      </c>
      <c r="D29" s="36" t="s">
        <v>147</v>
      </c>
      <c r="E29" s="37" t="s">
        <v>31</v>
      </c>
      <c r="F29" s="37" t="s">
        <v>148</v>
      </c>
      <c r="G29" s="37" t="s">
        <v>149</v>
      </c>
      <c r="H29" s="38" t="s">
        <v>67</v>
      </c>
      <c r="I29" s="39" t="s">
        <v>67</v>
      </c>
      <c r="J29" s="34" t="s">
        <v>32</v>
      </c>
      <c r="K29" s="29"/>
      <c r="L29" s="30"/>
      <c r="M29" s="30"/>
      <c r="N29" s="31"/>
      <c r="O29" s="29"/>
      <c r="P29" s="32"/>
      <c r="Q29" s="33"/>
    </row>
    <row r="30" customFormat="false" ht="60" hidden="false" customHeight="true" outlineLevel="0" collapsed="false">
      <c r="A30" s="23" t="n">
        <v>25</v>
      </c>
      <c r="B30" s="24" t="n">
        <v>46279</v>
      </c>
      <c r="C30" s="23" t="s">
        <v>17</v>
      </c>
      <c r="D30" s="25" t="s">
        <v>150</v>
      </c>
      <c r="E30" s="26" t="s">
        <v>19</v>
      </c>
      <c r="F30" s="26" t="s">
        <v>151</v>
      </c>
      <c r="G30" s="26" t="s">
        <v>152</v>
      </c>
      <c r="H30" s="27" t="s">
        <v>153</v>
      </c>
      <c r="I30" s="28" t="s">
        <v>154</v>
      </c>
      <c r="J30" s="23" t="s">
        <v>35</v>
      </c>
      <c r="K30" s="29"/>
      <c r="L30" s="30"/>
      <c r="M30" s="30"/>
      <c r="N30" s="31"/>
      <c r="O30" s="29"/>
      <c r="P30" s="32"/>
      <c r="Q30" s="33"/>
    </row>
    <row r="31" customFormat="false" ht="15.75" hidden="false" customHeight="true" outlineLevel="0" collapsed="false">
      <c r="A31" s="34" t="n">
        <v>26</v>
      </c>
      <c r="B31" s="35" t="n">
        <v>46279</v>
      </c>
      <c r="C31" s="34" t="s">
        <v>17</v>
      </c>
      <c r="D31" s="36" t="s">
        <v>155</v>
      </c>
      <c r="E31" s="37" t="s">
        <v>25</v>
      </c>
      <c r="F31" s="37" t="s">
        <v>156</v>
      </c>
      <c r="G31" s="37" t="s">
        <v>157</v>
      </c>
      <c r="H31" s="38" t="s">
        <v>67</v>
      </c>
      <c r="I31" s="39" t="s">
        <v>67</v>
      </c>
      <c r="J31" s="34" t="s">
        <v>35</v>
      </c>
      <c r="K31" s="29"/>
      <c r="L31" s="30"/>
      <c r="M31" s="30"/>
      <c r="N31" s="31"/>
      <c r="O31" s="29"/>
      <c r="P31" s="32"/>
      <c r="Q31" s="33"/>
    </row>
    <row r="32" customFormat="false" ht="15.75" hidden="false" customHeight="true" outlineLevel="0" collapsed="false">
      <c r="A32" s="23" t="n">
        <v>27</v>
      </c>
      <c r="B32" s="24" t="n">
        <v>46279</v>
      </c>
      <c r="C32" s="23" t="s">
        <v>17</v>
      </c>
      <c r="D32" s="25" t="s">
        <v>158</v>
      </c>
      <c r="E32" s="26" t="s">
        <v>34</v>
      </c>
      <c r="F32" s="26" t="s">
        <v>159</v>
      </c>
      <c r="G32" s="26" t="s">
        <v>160</v>
      </c>
      <c r="H32" s="27" t="s">
        <v>67</v>
      </c>
      <c r="I32" s="28" t="s">
        <v>67</v>
      </c>
      <c r="J32" s="23" t="s">
        <v>35</v>
      </c>
      <c r="K32" s="29"/>
      <c r="L32" s="30"/>
      <c r="M32" s="30"/>
      <c r="N32" s="31"/>
      <c r="O32" s="29"/>
      <c r="P32" s="32"/>
      <c r="Q32" s="33"/>
    </row>
    <row r="33" customFormat="false" ht="15.75" hidden="false" customHeight="true" outlineLevel="0" collapsed="false">
      <c r="A33" s="34" t="n">
        <v>28</v>
      </c>
      <c r="B33" s="35" t="n">
        <v>46280</v>
      </c>
      <c r="C33" s="34" t="s">
        <v>20</v>
      </c>
      <c r="D33" s="36" t="s">
        <v>161</v>
      </c>
      <c r="E33" s="37" t="s">
        <v>19</v>
      </c>
      <c r="F33" s="37" t="s">
        <v>162</v>
      </c>
      <c r="G33" s="37" t="s">
        <v>163</v>
      </c>
      <c r="H33" s="38" t="s">
        <v>67</v>
      </c>
      <c r="I33" s="39" t="s">
        <v>67</v>
      </c>
      <c r="J33" s="34" t="s">
        <v>35</v>
      </c>
      <c r="K33" s="29"/>
      <c r="L33" s="30"/>
      <c r="M33" s="30"/>
      <c r="N33" s="31"/>
      <c r="O33" s="29"/>
      <c r="P33" s="32"/>
      <c r="Q33" s="33"/>
    </row>
    <row r="34" customFormat="false" ht="15.75" hidden="false" customHeight="true" outlineLevel="0" collapsed="false">
      <c r="A34" s="23" t="n">
        <v>29</v>
      </c>
      <c r="B34" s="24" t="n">
        <v>46280</v>
      </c>
      <c r="C34" s="23" t="s">
        <v>20</v>
      </c>
      <c r="D34" s="25" t="s">
        <v>164</v>
      </c>
      <c r="E34" s="26" t="s">
        <v>25</v>
      </c>
      <c r="F34" s="26" t="s">
        <v>165</v>
      </c>
      <c r="G34" s="26" t="s">
        <v>166</v>
      </c>
      <c r="H34" s="27" t="s">
        <v>67</v>
      </c>
      <c r="I34" s="28" t="s">
        <v>67</v>
      </c>
      <c r="J34" s="23" t="s">
        <v>32</v>
      </c>
      <c r="K34" s="29"/>
      <c r="L34" s="30"/>
      <c r="M34" s="30"/>
      <c r="N34" s="31"/>
      <c r="O34" s="29"/>
      <c r="P34" s="32"/>
      <c r="Q34" s="33"/>
    </row>
    <row r="35" customFormat="false" ht="15.75" hidden="false" customHeight="true" outlineLevel="0" collapsed="false">
      <c r="A35" s="34" t="n">
        <v>30</v>
      </c>
      <c r="B35" s="35" t="n">
        <v>46280</v>
      </c>
      <c r="C35" s="34" t="s">
        <v>20</v>
      </c>
      <c r="D35" s="36" t="s">
        <v>167</v>
      </c>
      <c r="E35" s="37" t="s">
        <v>34</v>
      </c>
      <c r="F35" s="37" t="s">
        <v>168</v>
      </c>
      <c r="G35" s="37" t="s">
        <v>169</v>
      </c>
      <c r="H35" s="38" t="s">
        <v>67</v>
      </c>
      <c r="I35" s="39" t="s">
        <v>67</v>
      </c>
      <c r="J35" s="34" t="s">
        <v>32</v>
      </c>
      <c r="K35" s="29"/>
      <c r="L35" s="30"/>
      <c r="M35" s="30"/>
      <c r="N35" s="31"/>
      <c r="O35" s="29"/>
      <c r="P35" s="32"/>
      <c r="Q35" s="33"/>
    </row>
    <row r="36" customFormat="false" ht="15.75" hidden="false" customHeight="true" outlineLevel="0" collapsed="false">
      <c r="A36" s="23" t="n">
        <v>31</v>
      </c>
      <c r="B36" s="24" t="n">
        <v>46281</v>
      </c>
      <c r="C36" s="23" t="s">
        <v>23</v>
      </c>
      <c r="D36" s="25" t="s">
        <v>170</v>
      </c>
      <c r="E36" s="26" t="s">
        <v>19</v>
      </c>
      <c r="F36" s="26" t="s">
        <v>171</v>
      </c>
      <c r="G36" s="26" t="s">
        <v>172</v>
      </c>
      <c r="H36" s="27" t="s">
        <v>67</v>
      </c>
      <c r="I36" s="28" t="s">
        <v>67</v>
      </c>
      <c r="J36" s="23" t="s">
        <v>29</v>
      </c>
      <c r="K36" s="29"/>
      <c r="L36" s="30"/>
      <c r="M36" s="30"/>
      <c r="N36" s="31"/>
      <c r="O36" s="29"/>
      <c r="P36" s="32"/>
      <c r="Q36" s="33"/>
    </row>
    <row r="37" customFormat="false" ht="15.75" hidden="false" customHeight="true" outlineLevel="0" collapsed="false">
      <c r="A37" s="34" t="n">
        <v>32</v>
      </c>
      <c r="B37" s="35" t="n">
        <v>46281</v>
      </c>
      <c r="C37" s="34" t="s">
        <v>23</v>
      </c>
      <c r="D37" s="36" t="s">
        <v>173</v>
      </c>
      <c r="E37" s="37" t="s">
        <v>25</v>
      </c>
      <c r="F37" s="37" t="s">
        <v>174</v>
      </c>
      <c r="G37" s="37" t="s">
        <v>175</v>
      </c>
      <c r="H37" s="38" t="s">
        <v>67</v>
      </c>
      <c r="I37" s="39" t="s">
        <v>67</v>
      </c>
      <c r="J37" s="34" t="s">
        <v>35</v>
      </c>
      <c r="K37" s="29"/>
      <c r="L37" s="30"/>
      <c r="M37" s="30"/>
      <c r="N37" s="31"/>
      <c r="O37" s="29"/>
      <c r="P37" s="32"/>
      <c r="Q37" s="33"/>
    </row>
    <row r="38" customFormat="false" ht="15.75" hidden="false" customHeight="true" outlineLevel="0" collapsed="false">
      <c r="A38" s="23" t="n">
        <v>33</v>
      </c>
      <c r="B38" s="24" t="n">
        <v>46281</v>
      </c>
      <c r="C38" s="23" t="s">
        <v>23</v>
      </c>
      <c r="D38" s="25" t="s">
        <v>176</v>
      </c>
      <c r="E38" s="26" t="s">
        <v>34</v>
      </c>
      <c r="F38" s="26" t="s">
        <v>177</v>
      </c>
      <c r="G38" s="26" t="s">
        <v>178</v>
      </c>
      <c r="H38" s="27" t="s">
        <v>67</v>
      </c>
      <c r="I38" s="28" t="s">
        <v>67</v>
      </c>
      <c r="J38" s="23" t="s">
        <v>32</v>
      </c>
      <c r="K38" s="29"/>
      <c r="L38" s="30"/>
      <c r="M38" s="30"/>
      <c r="N38" s="31"/>
      <c r="O38" s="29"/>
      <c r="P38" s="32"/>
      <c r="Q38" s="33"/>
    </row>
  </sheetData>
  <sheetProtection sheet="true" password="ed33" formatCells="false" insertRows="false" deleteRows="false" selectLockedCells="true" selectUnlockedCells="true"/>
  <mergeCells count="3">
    <mergeCell ref="A1:Q1"/>
    <mergeCell ref="A2:Q2"/>
    <mergeCell ref="A3:Q3"/>
  </mergeCells>
  <dataValidations count="3">
    <dataValidation allowBlank="true" errorStyle="stop" operator="between" showDropDown="false" showErrorMessage="false" showInputMessage="false" sqref="K6:K38" type="list">
      <formula1>"Scheduled,Completed,Rescheduled,Cancelled"</formula1>
      <formula2>0</formula2>
    </dataValidation>
    <dataValidation allowBlank="true" errorStyle="stop" operator="between" showDropDown="false" showErrorMessage="false" showInputMessage="false" sqref="O6:O38" type="list">
      <formula1>"Pending,In Progress,Completed,No Response"</formula1>
      <formula2>0</formula2>
    </dataValidation>
    <dataValidation allowBlank="true" errorStyle="stop" operator="between" showDropDown="false" showErrorMessage="false" showInputMessage="false" sqref="N6:N38" type="list">
      <formula1>'Follow-up Team'!$B$3:$B$14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40" t="s">
        <v>179</v>
      </c>
      <c r="B1" s="40"/>
      <c r="C1" s="40"/>
      <c r="D1" s="40"/>
    </row>
    <row r="2" customFormat="false" ht="15" hidden="false" customHeight="false" outlineLevel="0" collapsed="false">
      <c r="A2" s="20" t="s">
        <v>180</v>
      </c>
      <c r="B2" s="20"/>
      <c r="C2" s="20"/>
      <c r="D2" s="20"/>
    </row>
    <row r="3" customFormat="false" ht="15" hidden="false" customHeight="false" outlineLevel="0" collapsed="false">
      <c r="A3" s="4" t="s">
        <v>181</v>
      </c>
      <c r="B3" s="4" t="s">
        <v>182</v>
      </c>
      <c r="C3" s="4" t="s">
        <v>183</v>
      </c>
      <c r="D3" s="4" t="s">
        <v>184</v>
      </c>
    </row>
    <row r="4" customFormat="false" ht="15" hidden="false" customHeight="false" outlineLevel="0" collapsed="false">
      <c r="A4" s="12" t="n">
        <v>1</v>
      </c>
      <c r="B4" s="41" t="s">
        <v>185</v>
      </c>
      <c r="C4" s="41" t="s">
        <v>186</v>
      </c>
      <c r="D4" s="41" t="s">
        <v>187</v>
      </c>
    </row>
    <row r="5" customFormat="false" ht="15" hidden="false" customHeight="false" outlineLevel="0" collapsed="false">
      <c r="A5" s="12" t="n">
        <v>2</v>
      </c>
      <c r="B5" s="42"/>
      <c r="C5" s="42"/>
      <c r="D5" s="42"/>
    </row>
    <row r="6" customFormat="false" ht="15" hidden="false" customHeight="false" outlineLevel="0" collapsed="false">
      <c r="A6" s="12" t="n">
        <v>3</v>
      </c>
      <c r="B6" s="42"/>
      <c r="C6" s="42"/>
      <c r="D6" s="42"/>
    </row>
    <row r="7" customFormat="false" ht="15" hidden="false" customHeight="false" outlineLevel="0" collapsed="false">
      <c r="A7" s="12" t="n">
        <v>4</v>
      </c>
      <c r="B7" s="42"/>
      <c r="C7" s="42"/>
      <c r="D7" s="42"/>
    </row>
    <row r="8" customFormat="false" ht="15" hidden="false" customHeight="false" outlineLevel="0" collapsed="false">
      <c r="A8" s="12" t="n">
        <v>5</v>
      </c>
      <c r="B8" s="42"/>
      <c r="C8" s="42"/>
      <c r="D8" s="42"/>
    </row>
    <row r="9" customFormat="false" ht="15" hidden="false" customHeight="false" outlineLevel="0" collapsed="false">
      <c r="A9" s="12" t="n">
        <v>6</v>
      </c>
      <c r="B9" s="42"/>
      <c r="C9" s="42"/>
      <c r="D9" s="42"/>
    </row>
    <row r="10" customFormat="false" ht="15" hidden="false" customHeight="false" outlineLevel="0" collapsed="false">
      <c r="A10" s="12" t="n">
        <v>7</v>
      </c>
      <c r="B10" s="42"/>
      <c r="C10" s="42"/>
      <c r="D10" s="42"/>
    </row>
    <row r="11" customFormat="false" ht="15" hidden="false" customHeight="false" outlineLevel="0" collapsed="false">
      <c r="A11" s="12" t="n">
        <v>8</v>
      </c>
      <c r="B11" s="42"/>
      <c r="C11" s="42"/>
      <c r="D11" s="42"/>
    </row>
    <row r="12" customFormat="false" ht="15" hidden="false" customHeight="false" outlineLevel="0" collapsed="false">
      <c r="A12" s="12" t="n">
        <v>9</v>
      </c>
      <c r="B12" s="42"/>
      <c r="C12" s="42"/>
      <c r="D12" s="42"/>
    </row>
    <row r="13" customFormat="false" ht="15" hidden="false" customHeight="false" outlineLevel="0" collapsed="false">
      <c r="A13" s="12" t="n">
        <v>10</v>
      </c>
      <c r="B13" s="42"/>
      <c r="C13" s="42"/>
      <c r="D13" s="42"/>
    </row>
    <row r="14" customFormat="false" ht="15" hidden="false" customHeight="false" outlineLevel="0" collapsed="false">
      <c r="A14" s="12" t="n">
        <v>11</v>
      </c>
      <c r="B14" s="42"/>
      <c r="C14" s="42"/>
      <c r="D14" s="42"/>
    </row>
  </sheetData>
  <sheetProtection sheet="true" password="ed33" formatCells="false" insertRows="false" deleteRows="false" selectLockedCells="true" selectUnlockedCells="true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2026-08-27T01:01:36Z</dcterms:created>
  <dc:creator>openpyxl</dc:creator>
  <dc:description/>
  <dc:language>en-US</dc:language>
  <cp:lastModifiedBy/>
  <dcterms:modified xsi:type="dcterms:W3CDTF">2026-08-27T01:01:36Z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